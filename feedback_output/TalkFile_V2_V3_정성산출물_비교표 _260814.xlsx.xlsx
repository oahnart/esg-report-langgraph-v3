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ehin\Downloads\"/>
    </mc:Choice>
  </mc:AlternateContent>
  <xr:revisionPtr revIDLastSave="0" documentId="13_ncr:1_{81AEF1E2-CCDA-457F-A50F-692C902D5026}" xr6:coauthVersionLast="47" xr6:coauthVersionMax="47" xr10:uidLastSave="{00000000-0000-0000-0000-000000000000}"/>
  <bookViews>
    <workbookView xWindow="38290" yWindow="-110" windowWidth="29020" windowHeight="15700" tabRatio="500" activeTab="2" xr2:uid="{00000000-000D-0000-FFFF-FFFF00000000}"/>
  </bookViews>
  <sheets>
    <sheet name="00_결론요약" sheetId="1" r:id="rId1"/>
    <sheet name="01_평가기준" sheetId="2" r:id="rId2"/>
    <sheet name="02_종합비교" sheetId="3" r:id="rId3"/>
    <sheet name="03_지표실측" sheetId="4" r:id="rId4"/>
    <sheet name="04_항목별비교" sheetId="5" r:id="rId5"/>
    <sheet name="05_대표사례" sheetId="6" r:id="rId6"/>
    <sheet name="06_Appendix_출처"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96" i="5" l="1"/>
  <c r="F96" i="5"/>
  <c r="AC96" i="5" s="1"/>
  <c r="G95" i="5"/>
  <c r="AB95" i="5" s="1"/>
  <c r="F95" i="5"/>
  <c r="AC95" i="5" s="1"/>
  <c r="G94" i="5"/>
  <c r="F94" i="5"/>
  <c r="AC94" i="5" s="1"/>
  <c r="G93" i="5"/>
  <c r="F93" i="5"/>
  <c r="AC93" i="5" s="1"/>
  <c r="G92" i="5"/>
  <c r="F92" i="5"/>
  <c r="AC92" i="5" s="1"/>
  <c r="G91" i="5"/>
  <c r="AB91" i="5" s="1"/>
  <c r="F91" i="5"/>
  <c r="AC91" i="5" s="1"/>
  <c r="G90" i="5"/>
  <c r="F90" i="5"/>
  <c r="AC90" i="5" s="1"/>
  <c r="G89" i="5"/>
  <c r="F89" i="5"/>
  <c r="AC89" i="5" s="1"/>
  <c r="G88" i="5"/>
  <c r="F88" i="5"/>
  <c r="AC88" i="5" s="1"/>
  <c r="G87" i="5"/>
  <c r="AB87" i="5" s="1"/>
  <c r="F87" i="5"/>
  <c r="AC87" i="5" s="1"/>
  <c r="G86" i="5"/>
  <c r="F86" i="5"/>
  <c r="AC86" i="5" s="1"/>
  <c r="G85" i="5"/>
  <c r="F85" i="5"/>
  <c r="AC85" i="5" s="1"/>
  <c r="G84" i="5"/>
  <c r="F84" i="5"/>
  <c r="AC84" i="5" s="1"/>
  <c r="G83" i="5"/>
  <c r="AB83" i="5" s="1"/>
  <c r="F83" i="5"/>
  <c r="AC83" i="5" s="1"/>
  <c r="G82" i="5"/>
  <c r="F82" i="5"/>
  <c r="AC82" i="5" s="1"/>
  <c r="G81" i="5"/>
  <c r="F81" i="5"/>
  <c r="AC81" i="5" s="1"/>
  <c r="G80" i="5"/>
  <c r="F80" i="5"/>
  <c r="AC80" i="5" s="1"/>
  <c r="G79" i="5"/>
  <c r="AB79" i="5" s="1"/>
  <c r="F79" i="5"/>
  <c r="AC79" i="5" s="1"/>
  <c r="G78" i="5"/>
  <c r="F78" i="5"/>
  <c r="AC78" i="5" s="1"/>
  <c r="G77" i="5"/>
  <c r="F77" i="5"/>
  <c r="AC77" i="5" s="1"/>
  <c r="G76" i="5"/>
  <c r="F76" i="5"/>
  <c r="AC76" i="5" s="1"/>
  <c r="G75" i="5"/>
  <c r="AB75" i="5" s="1"/>
  <c r="F75" i="5"/>
  <c r="AC75" i="5" s="1"/>
  <c r="G74" i="5"/>
  <c r="F74" i="5"/>
  <c r="AC74" i="5" s="1"/>
  <c r="G73" i="5"/>
  <c r="F73" i="5"/>
  <c r="AC73" i="5" s="1"/>
  <c r="G72" i="5"/>
  <c r="F72" i="5"/>
  <c r="AC72" i="5" s="1"/>
  <c r="G71" i="5"/>
  <c r="AB71" i="5" s="1"/>
  <c r="F71" i="5"/>
  <c r="AC71" i="5" s="1"/>
  <c r="G70" i="5"/>
  <c r="F70" i="5"/>
  <c r="AC70" i="5" s="1"/>
  <c r="G69" i="5"/>
  <c r="F69" i="5"/>
  <c r="AC69" i="5" s="1"/>
  <c r="G68" i="5"/>
  <c r="F68" i="5"/>
  <c r="AC68" i="5" s="1"/>
  <c r="G67" i="5"/>
  <c r="AB67" i="5" s="1"/>
  <c r="F67" i="5"/>
  <c r="AC67" i="5" s="1"/>
  <c r="G66" i="5"/>
  <c r="F66" i="5"/>
  <c r="AC66" i="5" s="1"/>
  <c r="G65" i="5"/>
  <c r="F65" i="5"/>
  <c r="AC65" i="5" s="1"/>
  <c r="G64" i="5"/>
  <c r="F64" i="5"/>
  <c r="AC64" i="5" s="1"/>
  <c r="G63" i="5"/>
  <c r="AB63" i="5" s="1"/>
  <c r="F63" i="5"/>
  <c r="AC63" i="5" s="1"/>
  <c r="G62" i="5"/>
  <c r="F62" i="5"/>
  <c r="AC62" i="5" s="1"/>
  <c r="G61" i="5"/>
  <c r="F61" i="5"/>
  <c r="AC61" i="5" s="1"/>
  <c r="G60" i="5"/>
  <c r="F60" i="5"/>
  <c r="AC60" i="5" s="1"/>
  <c r="G59" i="5"/>
  <c r="AB59" i="5" s="1"/>
  <c r="F59" i="5"/>
  <c r="AC59" i="5" s="1"/>
  <c r="G58" i="5"/>
  <c r="F58" i="5"/>
  <c r="AC58" i="5" s="1"/>
  <c r="G57" i="5"/>
  <c r="F57" i="5"/>
  <c r="AC57" i="5" s="1"/>
  <c r="G56" i="5"/>
  <c r="F56" i="5"/>
  <c r="AC56" i="5" s="1"/>
  <c r="G55" i="5"/>
  <c r="AB55" i="5" s="1"/>
  <c r="F55" i="5"/>
  <c r="AC55" i="5" s="1"/>
  <c r="G54" i="5"/>
  <c r="F54" i="5"/>
  <c r="AC54" i="5" s="1"/>
  <c r="G53" i="5"/>
  <c r="F53" i="5"/>
  <c r="AC53" i="5" s="1"/>
  <c r="G52" i="5"/>
  <c r="F52" i="5"/>
  <c r="AC52" i="5" s="1"/>
  <c r="G51" i="5"/>
  <c r="AB51" i="5" s="1"/>
  <c r="F51" i="5"/>
  <c r="AC51" i="5" s="1"/>
  <c r="G50" i="5"/>
  <c r="F50" i="5"/>
  <c r="AC50" i="5" s="1"/>
  <c r="G49" i="5"/>
  <c r="F49" i="5"/>
  <c r="AC49" i="5" s="1"/>
  <c r="G48" i="5"/>
  <c r="F48" i="5"/>
  <c r="AC48" i="5" s="1"/>
  <c r="G47" i="5"/>
  <c r="AB47" i="5" s="1"/>
  <c r="F47" i="5"/>
  <c r="AC47" i="5" s="1"/>
  <c r="G46" i="5"/>
  <c r="F46" i="5"/>
  <c r="AC46" i="5" s="1"/>
  <c r="G45" i="5"/>
  <c r="F45" i="5"/>
  <c r="AC45" i="5" s="1"/>
  <c r="G44" i="5"/>
  <c r="F44" i="5"/>
  <c r="AC44" i="5" s="1"/>
  <c r="G43" i="5"/>
  <c r="AB43" i="5" s="1"/>
  <c r="F43" i="5"/>
  <c r="AC43" i="5" s="1"/>
  <c r="G42" i="5"/>
  <c r="F42" i="5"/>
  <c r="AC42" i="5" s="1"/>
  <c r="G41" i="5"/>
  <c r="F41" i="5"/>
  <c r="AC41" i="5" s="1"/>
  <c r="G40" i="5"/>
  <c r="F40" i="5"/>
  <c r="AC40" i="5" s="1"/>
  <c r="G39" i="5"/>
  <c r="AB39" i="5" s="1"/>
  <c r="F39" i="5"/>
  <c r="AC39" i="5" s="1"/>
  <c r="G38" i="5"/>
  <c r="F38" i="5"/>
  <c r="AC38" i="5" s="1"/>
  <c r="G37" i="5"/>
  <c r="F37" i="5"/>
  <c r="AC37" i="5" s="1"/>
  <c r="G36" i="5"/>
  <c r="F36" i="5"/>
  <c r="AC36" i="5" s="1"/>
  <c r="G35" i="5"/>
  <c r="AB35" i="5" s="1"/>
  <c r="F35" i="5"/>
  <c r="AC35" i="5" s="1"/>
  <c r="G34" i="5"/>
  <c r="F34" i="5"/>
  <c r="AC34" i="5" s="1"/>
  <c r="G33" i="5"/>
  <c r="F33" i="5"/>
  <c r="AC33" i="5" s="1"/>
  <c r="G32" i="5"/>
  <c r="F32" i="5"/>
  <c r="AC32" i="5" s="1"/>
  <c r="G31" i="5"/>
  <c r="AB31" i="5" s="1"/>
  <c r="F31" i="5"/>
  <c r="AC31" i="5" s="1"/>
  <c r="G30" i="5"/>
  <c r="F30" i="5"/>
  <c r="AC30" i="5" s="1"/>
  <c r="G29" i="5"/>
  <c r="F29" i="5"/>
  <c r="AC29" i="5" s="1"/>
  <c r="G28" i="5"/>
  <c r="F28" i="5"/>
  <c r="AC28" i="5" s="1"/>
  <c r="G27" i="5"/>
  <c r="AB27" i="5" s="1"/>
  <c r="F27" i="5"/>
  <c r="AC27" i="5" s="1"/>
  <c r="G26" i="5"/>
  <c r="F26" i="5"/>
  <c r="AC26" i="5" s="1"/>
  <c r="G25" i="5"/>
  <c r="F25" i="5"/>
  <c r="AC25" i="5" s="1"/>
  <c r="G24" i="5"/>
  <c r="F24" i="5"/>
  <c r="AC24" i="5" s="1"/>
  <c r="G23" i="5"/>
  <c r="AB23" i="5" s="1"/>
  <c r="F23" i="5"/>
  <c r="AC23" i="5" s="1"/>
  <c r="G22" i="5"/>
  <c r="F22" i="5"/>
  <c r="AC22" i="5" s="1"/>
  <c r="G21" i="5"/>
  <c r="F21" i="5"/>
  <c r="AC21" i="5" s="1"/>
  <c r="G20" i="5"/>
  <c r="F20" i="5"/>
  <c r="AC20" i="5" s="1"/>
  <c r="G19" i="5"/>
  <c r="AB19" i="5" s="1"/>
  <c r="F19" i="5"/>
  <c r="AC19" i="5" s="1"/>
  <c r="G18" i="5"/>
  <c r="F18" i="5"/>
  <c r="AC18" i="5" s="1"/>
  <c r="G17" i="5"/>
  <c r="F17" i="5"/>
  <c r="AC17" i="5" s="1"/>
  <c r="G16" i="5"/>
  <c r="F16" i="5"/>
  <c r="AC16" i="5" s="1"/>
  <c r="G15" i="5"/>
  <c r="AB15" i="5" s="1"/>
  <c r="F15" i="5"/>
  <c r="AC15" i="5" s="1"/>
  <c r="G14" i="5"/>
  <c r="F14" i="5"/>
  <c r="AC14" i="5" s="1"/>
  <c r="G13" i="5"/>
  <c r="F13" i="5"/>
  <c r="AC13" i="5" s="1"/>
  <c r="G12" i="5"/>
  <c r="F12" i="5"/>
  <c r="AC12" i="5" s="1"/>
  <c r="G11" i="5"/>
  <c r="AB11" i="5" s="1"/>
  <c r="F11" i="5"/>
  <c r="AC11" i="5" s="1"/>
  <c r="G10" i="5"/>
  <c r="F10" i="5"/>
  <c r="AC10" i="5" s="1"/>
  <c r="G9" i="5"/>
  <c r="F9" i="5"/>
  <c r="AC9" i="5" s="1"/>
  <c r="G8" i="5"/>
  <c r="F8" i="5"/>
  <c r="AC8" i="5" s="1"/>
  <c r="G7" i="5"/>
  <c r="AB7" i="5" s="1"/>
  <c r="F7" i="5"/>
  <c r="AC7" i="5" s="1"/>
  <c r="G6" i="5"/>
  <c r="F6" i="5"/>
  <c r="AC6" i="5" s="1"/>
  <c r="G5" i="5"/>
  <c r="F5" i="5"/>
  <c r="AC5" i="5" s="1"/>
  <c r="G4" i="5"/>
  <c r="F4" i="5"/>
  <c r="AC4" i="5" s="1"/>
  <c r="G3" i="5"/>
  <c r="AB3" i="5" s="1"/>
  <c r="F3" i="5"/>
  <c r="AC3" i="5" s="1"/>
  <c r="G2" i="5"/>
  <c r="D6" i="4" s="1"/>
  <c r="F2" i="5"/>
  <c r="C7" i="4" s="1"/>
  <c r="E24" i="4"/>
  <c r="D23" i="4"/>
  <c r="E23" i="4" s="1"/>
  <c r="E22" i="4"/>
  <c r="D22" i="4"/>
  <c r="E12" i="4"/>
  <c r="E10" i="4"/>
  <c r="B20" i="3"/>
  <c r="B32" i="1" s="1"/>
  <c r="D19" i="3"/>
  <c r="C19" i="3"/>
  <c r="B19" i="3"/>
  <c r="C18" i="3"/>
  <c r="C31" i="1" s="1"/>
  <c r="B18" i="3"/>
  <c r="B31" i="1" s="1"/>
  <c r="C17" i="3"/>
  <c r="C30" i="1" s="1"/>
  <c r="B17" i="3"/>
  <c r="B30" i="1" s="1"/>
  <c r="D14" i="3"/>
  <c r="D13" i="3"/>
  <c r="D12" i="3"/>
  <c r="D11" i="3"/>
  <c r="D10" i="3"/>
  <c r="D9" i="3"/>
  <c r="D8" i="3"/>
  <c r="C20" i="3" s="1"/>
  <c r="C32" i="1" s="1"/>
  <c r="D7" i="3"/>
  <c r="D6" i="3"/>
  <c r="D5" i="3"/>
  <c r="F20" i="2"/>
  <c r="E20" i="2"/>
  <c r="D7" i="4" l="1"/>
  <c r="C8" i="4"/>
  <c r="D16" i="4"/>
  <c r="D17" i="3"/>
  <c r="D30" i="1" s="1"/>
  <c r="D8" i="4"/>
  <c r="AB5" i="5"/>
  <c r="AB9" i="5"/>
  <c r="AB13" i="5"/>
  <c r="AB17" i="5"/>
  <c r="AB21" i="5"/>
  <c r="AB25" i="5"/>
  <c r="AB29" i="5"/>
  <c r="AB33" i="5"/>
  <c r="AB37" i="5"/>
  <c r="AB41" i="5"/>
  <c r="AB45" i="5"/>
  <c r="AB49" i="5"/>
  <c r="AB53" i="5"/>
  <c r="AB57" i="5"/>
  <c r="AB61" i="5"/>
  <c r="AB65" i="5"/>
  <c r="AB69" i="5"/>
  <c r="AB73" i="5"/>
  <c r="AB77" i="5"/>
  <c r="AB81" i="5"/>
  <c r="AB85" i="5"/>
  <c r="AB89" i="5"/>
  <c r="AB93" i="5"/>
  <c r="C16" i="4"/>
  <c r="E16" i="4" s="1"/>
  <c r="C9" i="4"/>
  <c r="D18" i="3"/>
  <c r="D31" i="1" s="1"/>
  <c r="C11" i="4"/>
  <c r="E11" i="4" s="1"/>
  <c r="C19" i="4"/>
  <c r="AB2" i="5"/>
  <c r="AB6" i="5"/>
  <c r="AB10" i="5"/>
  <c r="AB14" i="5"/>
  <c r="AB18" i="5"/>
  <c r="AB22" i="5"/>
  <c r="AB26" i="5"/>
  <c r="AB30" i="5"/>
  <c r="AB34" i="5"/>
  <c r="AB38" i="5"/>
  <c r="AB42" i="5"/>
  <c r="AB46" i="5"/>
  <c r="AB50" i="5"/>
  <c r="AB54" i="5"/>
  <c r="AB58" i="5"/>
  <c r="AB62" i="5"/>
  <c r="AB66" i="5"/>
  <c r="AB70" i="5"/>
  <c r="AB74" i="5"/>
  <c r="AB78" i="5"/>
  <c r="AB82" i="5"/>
  <c r="AB86" i="5"/>
  <c r="AB90" i="5"/>
  <c r="AB94" i="5"/>
  <c r="D11" i="4"/>
  <c r="D19" i="4"/>
  <c r="AC2" i="5"/>
  <c r="D9" i="4"/>
  <c r="D20" i="3"/>
  <c r="D32" i="1" s="1"/>
  <c r="D13" i="4"/>
  <c r="C13" i="4"/>
  <c r="E13" i="4" s="1"/>
  <c r="C15" i="4"/>
  <c r="D21" i="4"/>
  <c r="C6" i="4"/>
  <c r="E6" i="4" s="1"/>
  <c r="C21" i="4"/>
  <c r="E21" i="4" s="1"/>
  <c r="D15" i="4"/>
  <c r="AB4" i="5"/>
  <c r="AB8" i="5"/>
  <c r="AB12" i="5"/>
  <c r="AB16" i="5"/>
  <c r="AB20" i="5"/>
  <c r="AB24" i="5"/>
  <c r="AB28" i="5"/>
  <c r="AB32" i="5"/>
  <c r="AB36" i="5"/>
  <c r="AB40" i="5"/>
  <c r="AB44" i="5"/>
  <c r="AB48" i="5"/>
  <c r="AB52" i="5"/>
  <c r="AB56" i="5"/>
  <c r="AB60" i="5"/>
  <c r="AB64" i="5"/>
  <c r="AB68" i="5"/>
  <c r="AB72" i="5"/>
  <c r="AB76" i="5"/>
  <c r="AB80" i="5"/>
  <c r="AB84" i="5"/>
  <c r="AB88" i="5"/>
  <c r="AB92" i="5"/>
  <c r="AB96" i="5"/>
  <c r="D20" i="4" l="1"/>
  <c r="C20" i="4"/>
  <c r="E20" i="4" s="1"/>
  <c r="C18" i="4"/>
  <c r="D18" i="4"/>
  <c r="E15" i="4"/>
  <c r="E19" i="4"/>
  <c r="E18" i="4" l="1"/>
</calcChain>
</file>

<file path=xl/sharedStrings.xml><?xml version="1.0" encoding="utf-8"?>
<sst xmlns="http://schemas.openxmlformats.org/spreadsheetml/2006/main" count="894" uniqueCount="761">
  <si>
    <r>
      <rPr>
        <b/>
        <sz val="17"/>
        <color rgb="FF1F3864"/>
        <rFont val="맑은 고딕"/>
        <family val="3"/>
        <charset val="129"/>
      </rPr>
      <t xml:space="preserve">V2 vs V3 </t>
    </r>
    <r>
      <rPr>
        <b/>
        <sz val="17"/>
        <color rgb="FF1F3864"/>
        <rFont val="Noto Sans CJK SC"/>
        <family val="2"/>
      </rPr>
      <t>정성 산출물 비교 — 결론</t>
    </r>
  </si>
  <si>
    <t>비교 대상: V2 consultant_safe_v10_1!G열  ↔  V3 Qualitative!H열 · EBX Indicator 95개 정합 · 양쪽 작성분 65개 직접 비교</t>
  </si>
  <si>
    <t>한 줄 결론</t>
  </si>
  <si>
    <t>두 버전은 서로 다른 실패를 합니다. V2는 "많이 쓰지만 근거보다 앞서 나가고", V3는 "근거 안에 머물지만 항목을 못 채우고 기계 티가 납니다". 보고서 초안으로 바로 쓰기에는 V2가, 사실 검증 리스크가 낮은 재료로는 V3가 낫습니다. 두 관점 모두에서 총점은 V2가 앞서지만, V3의 패인 대부분은 문장력이 아니라 제거 가능한 파이프라인 결함(출처 헤지구, 과보수적 QA 차단)입니다.</t>
  </si>
  <si>
    <r>
      <rPr>
        <b/>
        <sz val="12"/>
        <color rgb="FF1F3864"/>
        <rFont val="맑은 고딕"/>
        <family val="3"/>
        <charset val="129"/>
      </rPr>
      <t>V2</t>
    </r>
    <r>
      <rPr>
        <b/>
        <sz val="12"/>
        <color rgb="FF1F3864"/>
        <rFont val="Noto Sans CJK SC"/>
        <family val="2"/>
      </rPr>
      <t>가 우세한 항목</t>
    </r>
  </si>
  <si>
    <t>완전성(작성률 86.3% vs 73.7%) · 항목 적합성(0.856 vs 0.612, 43/65승) · 구체성(1천자당 숫자 23.3 vs 12.8) · 균형성(리스크 언급 59.8% vs 37.1%) · 문장 자연스러움(기계적 삽입구 0건 vs 24건).</t>
  </si>
  <si>
    <r>
      <rPr>
        <b/>
        <sz val="12"/>
        <color rgb="FF1F3864"/>
        <rFont val="맑은 고딕"/>
        <family val="3"/>
        <charset val="129"/>
      </rPr>
      <t>V3</t>
    </r>
    <r>
      <rPr>
        <b/>
        <sz val="12"/>
        <color rgb="FF1F3864"/>
        <rFont val="Noto Sans CJK SC"/>
        <family val="2"/>
      </rPr>
      <t>가 우세한 항목</t>
    </r>
  </si>
  <si>
    <t>근거 충실성·검증가능성(0.408 → 0.629, 59/65승 — 가장 큰 격차) · 상투어 절제(1천자당 5.79 → 3.78).</t>
  </si>
  <si>
    <t>사실상 동률인 항목</t>
  </si>
  <si>
    <t>어휘 다양성(MATTR 0.9386 vs 0.9380) · 명확성(평균 문장 93.0자 vs 94.1자) · 문체 리듬 다양성(길이 통제 시 CV 0.242 vs 0.249).</t>
  </si>
  <si>
    <t>★ 오판하기 쉬운 지점</t>
  </si>
  <si>
    <t>전체 평균만 보면 V2의 버스티니스(문장 길이 변동)가 훨씬 높아 "V2가 더 사람 같다"는 결론이 나옵니다. 하지만 이는 V3 답변이 평균 2.3문장으로 짧아서 생긴 착시입니다. 3문장 이상인 28건만 비교하면 0.242 vs 0.249로 오히려 V3가 근소 우위입니다. 어휘 다양성도 마찬가지로 길이를 맞추면 차이가 사라집니다. 즉 두 버전의 문장력 자체에는 유의미한 차이가 없고, 차이는 전부 "무엇을 얼마나 쓸 것인가"라는 정책에서 나옵니다.</t>
  </si>
  <si>
    <r>
      <rPr>
        <b/>
        <sz val="12"/>
        <color rgb="FF1F3864"/>
        <rFont val="맑은 고딕"/>
        <family val="3"/>
        <charset val="129"/>
      </rPr>
      <t>V2</t>
    </r>
    <r>
      <rPr>
        <b/>
        <sz val="12"/>
        <color rgb="FF1F3864"/>
        <rFont val="Noto Sans CJK SC"/>
        <family val="2"/>
      </rPr>
      <t>의 핵심 약점 — 근거 없는 확장</t>
    </r>
  </si>
  <si>
    <r>
      <rPr>
        <sz val="10"/>
        <rFont val="맑은 고딕"/>
        <family val="3"/>
        <charset val="129"/>
      </rPr>
      <t xml:space="preserve">V2 </t>
    </r>
    <r>
      <rPr>
        <sz val="10"/>
        <rFont val="Noto Sans CJK SC"/>
        <family val="2"/>
      </rPr>
      <t xml:space="preserve">본문 안에서 앞 </t>
    </r>
    <r>
      <rPr>
        <sz val="10"/>
        <rFont val="맑은 고딕"/>
        <family val="3"/>
        <charset val="129"/>
      </rPr>
      <t>2</t>
    </r>
    <r>
      <rPr>
        <sz val="10"/>
        <rFont val="Noto Sans CJK SC"/>
        <family val="2"/>
      </rPr>
      <t xml:space="preserve">문장의 근거일치율은 </t>
    </r>
    <r>
      <rPr>
        <sz val="10"/>
        <rFont val="맑은 고딕"/>
        <family val="3"/>
        <charset val="129"/>
      </rPr>
      <t>0.477</t>
    </r>
    <r>
      <rPr>
        <sz val="10"/>
        <rFont val="Noto Sans CJK SC"/>
        <family val="2"/>
      </rPr>
      <t xml:space="preserve">인데 그 뒤 문장들은 </t>
    </r>
    <r>
      <rPr>
        <sz val="10"/>
        <rFont val="맑은 고딕"/>
        <family val="3"/>
        <charset val="129"/>
      </rPr>
      <t>0.357</t>
    </r>
    <r>
      <rPr>
        <sz val="10"/>
        <rFont val="Noto Sans CJK SC"/>
        <family val="2"/>
      </rPr>
      <t>로 떨어집니다</t>
    </r>
    <r>
      <rPr>
        <sz val="10"/>
        <rFont val="맑은 고딕"/>
        <family val="3"/>
        <charset val="129"/>
      </rPr>
      <t>(57</t>
    </r>
    <r>
      <rPr>
        <sz val="10"/>
        <rFont val="Noto Sans CJK SC"/>
        <family val="2"/>
      </rPr>
      <t xml:space="preserve">건 중 </t>
    </r>
    <r>
      <rPr>
        <sz val="10"/>
        <rFont val="맑은 고딕"/>
        <family val="3"/>
        <charset val="129"/>
      </rPr>
      <t>46</t>
    </r>
    <r>
      <rPr>
        <sz val="10"/>
        <rFont val="Noto Sans CJK SC"/>
        <family val="2"/>
      </rPr>
      <t>건에서 하락</t>
    </r>
    <r>
      <rPr>
        <sz val="10"/>
        <rFont val="맑은 고딕"/>
        <family val="3"/>
        <charset val="129"/>
      </rPr>
      <t xml:space="preserve">). </t>
    </r>
    <r>
      <rPr>
        <sz val="10"/>
        <rFont val="Noto Sans CJK SC"/>
        <family val="2"/>
      </rPr>
      <t>길어지는 부분이 곧 근거에서 멀어지는 부분입니다</t>
    </r>
    <r>
      <rPr>
        <sz val="10"/>
        <rFont val="맑은 고딕"/>
        <family val="3"/>
        <charset val="129"/>
      </rPr>
      <t xml:space="preserve">. V2 </t>
    </r>
    <r>
      <rPr>
        <sz val="10"/>
        <rFont val="Noto Sans CJK SC"/>
        <family val="2"/>
      </rPr>
      <t xml:space="preserve">파일 자체의 검토열도 </t>
    </r>
    <r>
      <rPr>
        <sz val="10"/>
        <rFont val="맑은 고딕"/>
        <family val="3"/>
        <charset val="129"/>
      </rPr>
      <t xml:space="preserve">Evidence </t>
    </r>
    <r>
      <rPr>
        <sz val="10"/>
        <rFont val="Noto Sans CJK SC"/>
        <family val="2"/>
      </rPr>
      <t>부족</t>
    </r>
    <r>
      <rPr>
        <sz val="10"/>
        <rFont val="맑은 고딕"/>
        <family val="3"/>
        <charset val="129"/>
      </rPr>
      <t>(Thiếu)</t>
    </r>
    <r>
      <rPr>
        <sz val="10"/>
        <rFont val="Noto Sans CJK SC"/>
        <family val="2"/>
      </rPr>
      <t xml:space="preserve">을 </t>
    </r>
    <r>
      <rPr>
        <sz val="10"/>
        <rFont val="맑은 고딕"/>
        <family val="3"/>
        <charset val="129"/>
      </rPr>
      <t>64</t>
    </r>
    <r>
      <rPr>
        <sz val="10"/>
        <rFont val="Noto Sans CJK SC"/>
        <family val="2"/>
      </rPr>
      <t>건 지적하고 있어 이 진단과 일치합니다</t>
    </r>
    <r>
      <rPr>
        <sz val="10"/>
        <rFont val="맑은 고딕"/>
        <family val="3"/>
        <charset val="129"/>
      </rPr>
      <t>.</t>
    </r>
  </si>
  <si>
    <r>
      <rPr>
        <b/>
        <sz val="12"/>
        <color rgb="FF1F3864"/>
        <rFont val="맑은 고딕"/>
        <family val="3"/>
        <charset val="129"/>
      </rPr>
      <t>V3</t>
    </r>
    <r>
      <rPr>
        <b/>
        <sz val="12"/>
        <color rgb="FF1F3864"/>
        <rFont val="Noto Sans CJK SC"/>
        <family val="2"/>
      </rPr>
      <t>의 핵심 약점 — 두 가지</t>
    </r>
    <r>
      <rPr>
        <b/>
        <sz val="12"/>
        <color rgb="FF1F3864"/>
        <rFont val="맑은 고딕"/>
        <family val="3"/>
        <charset val="129"/>
      </rPr>
      <t xml:space="preserve">, </t>
    </r>
    <r>
      <rPr>
        <b/>
        <sz val="12"/>
        <color rgb="FF1F3864"/>
        <rFont val="Noto Sans CJK SC"/>
        <family val="2"/>
      </rPr>
      <t>모두 수정 가능</t>
    </r>
  </si>
  <si>
    <r>
      <rPr>
        <sz val="10"/>
        <rFont val="맑은 고딕"/>
        <family val="3"/>
        <charset val="129"/>
      </rPr>
      <t>(1) "</t>
    </r>
    <r>
      <rPr>
        <sz val="10"/>
        <rFont val="Noto Sans CJK SC"/>
        <family val="2"/>
      </rPr>
      <t>검토 중인 제안 자료상</t>
    </r>
    <r>
      <rPr>
        <sz val="10"/>
        <rFont val="맑은 고딕"/>
        <family val="3"/>
        <charset val="129"/>
      </rPr>
      <t>", "</t>
    </r>
    <r>
      <rPr>
        <sz val="10"/>
        <rFont val="Noto Sans CJK SC"/>
        <family val="2"/>
      </rPr>
      <t>외부 평가 자료상</t>
    </r>
    <r>
      <rPr>
        <sz val="10"/>
        <rFont val="맑은 고딕"/>
        <family val="3"/>
        <charset val="129"/>
      </rPr>
      <t>"</t>
    </r>
    <r>
      <rPr>
        <sz val="10"/>
        <rFont val="Noto Sans CJK SC"/>
        <family val="2"/>
      </rPr>
      <t xml:space="preserve">이 작성분의 </t>
    </r>
    <r>
      <rPr>
        <sz val="10"/>
        <rFont val="맑은 고딕"/>
        <family val="3"/>
        <charset val="129"/>
      </rPr>
      <t>34.3%</t>
    </r>
    <r>
      <rPr>
        <sz val="10"/>
        <rFont val="Noto Sans CJK SC"/>
        <family val="2"/>
      </rPr>
      <t>에 삽입됩니다</t>
    </r>
    <r>
      <rPr>
        <sz val="10"/>
        <rFont val="맑은 고딕"/>
        <family val="3"/>
        <charset val="129"/>
      </rPr>
      <t xml:space="preserve">. </t>
    </r>
    <r>
      <rPr>
        <sz val="10"/>
        <rFont val="Noto Sans CJK SC"/>
        <family val="2"/>
      </rPr>
      <t>사람이 쓴 보고서에는 존재하지 않는 표현이고</t>
    </r>
    <r>
      <rPr>
        <sz val="10"/>
        <rFont val="맑은 고딕"/>
        <family val="3"/>
        <charset val="129"/>
      </rPr>
      <t>, "</t>
    </r>
    <r>
      <rPr>
        <sz val="10"/>
        <rFont val="Noto Sans CJK SC"/>
        <family val="2"/>
      </rPr>
      <t>외부 평가 자료상 또한</t>
    </r>
    <r>
      <rPr>
        <sz val="10"/>
        <rFont val="맑은 고딕"/>
        <family val="3"/>
        <charset val="129"/>
      </rPr>
      <t xml:space="preserve">," </t>
    </r>
    <r>
      <rPr>
        <sz val="10"/>
        <rFont val="Noto Sans CJK SC"/>
        <family val="2"/>
      </rPr>
      <t xml:space="preserve">처럼 접속을 끊고 들어가 비문을 만드는 사례가 </t>
    </r>
    <r>
      <rPr>
        <sz val="10"/>
        <rFont val="맑은 고딕"/>
        <family val="3"/>
        <charset val="129"/>
      </rPr>
      <t>5</t>
    </r>
    <r>
      <rPr>
        <sz val="10"/>
        <rFont val="Noto Sans CJK SC"/>
        <family val="2"/>
      </rPr>
      <t>건입니다</t>
    </r>
    <r>
      <rPr>
        <sz val="10"/>
        <rFont val="맑은 고딕"/>
        <family val="3"/>
        <charset val="129"/>
      </rPr>
      <t xml:space="preserve">. </t>
    </r>
    <r>
      <rPr>
        <sz val="10"/>
        <rFont val="Noto Sans CJK SC"/>
        <family val="2"/>
      </rPr>
      <t>프롬프트에서 이 관형구를 금지하고 출처는 별도 열로 빼면 즉시 해소됩니다</t>
    </r>
    <r>
      <rPr>
        <sz val="10"/>
        <rFont val="맑은 고딕"/>
        <family val="3"/>
        <charset val="129"/>
      </rPr>
      <t xml:space="preserve">. (2) </t>
    </r>
    <r>
      <rPr>
        <sz val="10"/>
        <rFont val="Noto Sans CJK SC"/>
        <family val="2"/>
      </rPr>
      <t xml:space="preserve">미작성 </t>
    </r>
    <r>
      <rPr>
        <sz val="10"/>
        <rFont val="맑은 고딕"/>
        <family val="3"/>
        <charset val="129"/>
      </rPr>
      <t>25</t>
    </r>
    <r>
      <rPr>
        <sz val="10"/>
        <rFont val="Noto Sans CJK SC"/>
        <family val="2"/>
      </rPr>
      <t xml:space="preserve">건이 전부 </t>
    </r>
    <r>
      <rPr>
        <sz val="10"/>
        <rFont val="맑은 고딕"/>
        <family val="3"/>
        <charset val="129"/>
      </rPr>
      <t>QA blocked</t>
    </r>
    <r>
      <rPr>
        <sz val="10"/>
        <rFont val="Noto Sans CJK SC"/>
        <family val="2"/>
      </rPr>
      <t>인데</t>
    </r>
    <r>
      <rPr>
        <sz val="10"/>
        <rFont val="맑은 고딕"/>
        <family val="3"/>
        <charset val="129"/>
      </rPr>
      <t xml:space="preserve">, </t>
    </r>
    <r>
      <rPr>
        <sz val="10"/>
        <rFont val="Noto Sans CJK SC"/>
        <family val="2"/>
      </rPr>
      <t xml:space="preserve">이 중에는 </t>
    </r>
    <r>
      <rPr>
        <sz val="10"/>
        <rFont val="맑은 고딕"/>
        <family val="3"/>
        <charset val="129"/>
      </rPr>
      <t>RAG Coverage</t>
    </r>
    <r>
      <rPr>
        <sz val="10"/>
        <rFont val="Noto Sans CJK SC"/>
        <family val="2"/>
      </rPr>
      <t xml:space="preserve">가 </t>
    </r>
    <r>
      <rPr>
        <sz val="10"/>
        <rFont val="맑은 고딕"/>
        <family val="3"/>
        <charset val="129"/>
      </rPr>
      <t>complete</t>
    </r>
    <r>
      <rPr>
        <sz val="10"/>
        <rFont val="Noto Sans CJK SC"/>
        <family val="2"/>
      </rPr>
      <t xml:space="preserve">이고 </t>
    </r>
    <r>
      <rPr>
        <sz val="10"/>
        <rFont val="맑은 고딕"/>
        <family val="3"/>
        <charset val="129"/>
      </rPr>
      <t>Evidence</t>
    </r>
    <r>
      <rPr>
        <sz val="10"/>
        <rFont val="Noto Sans CJK SC"/>
        <family val="2"/>
      </rPr>
      <t xml:space="preserve">가 </t>
    </r>
    <r>
      <rPr>
        <sz val="10"/>
        <rFont val="맑은 고딕"/>
        <family val="3"/>
        <charset val="129"/>
      </rPr>
      <t>high_confidence</t>
    </r>
    <r>
      <rPr>
        <sz val="10"/>
        <rFont val="Noto Sans CJK SC"/>
        <family val="2"/>
      </rPr>
      <t>인 건</t>
    </r>
    <r>
      <rPr>
        <sz val="10"/>
        <rFont val="맑은 고딕"/>
        <family val="3"/>
        <charset val="129"/>
      </rPr>
      <t xml:space="preserve">(EBX-Q-011 </t>
    </r>
    <r>
      <rPr>
        <sz val="10"/>
        <rFont val="Noto Sans CJK SC"/>
        <family val="2"/>
      </rPr>
      <t>등</t>
    </r>
    <r>
      <rPr>
        <sz val="10"/>
        <rFont val="맑은 고딕"/>
        <family val="3"/>
        <charset val="129"/>
      </rPr>
      <t>)</t>
    </r>
    <r>
      <rPr>
        <sz val="10"/>
        <rFont val="Noto Sans CJK SC"/>
        <family val="2"/>
      </rPr>
      <t>도 포함돼 있습니다 — 차단 기준이 과보수적입니다</t>
    </r>
    <r>
      <rPr>
        <sz val="10"/>
        <rFont val="맑은 고딕"/>
        <family val="3"/>
        <charset val="129"/>
      </rPr>
      <t>.</t>
    </r>
  </si>
  <si>
    <t>권고</t>
  </si>
  <si>
    <r>
      <rPr>
        <sz val="10"/>
        <rFont val="맑은 고딕"/>
        <family val="3"/>
        <charset val="129"/>
      </rPr>
      <t>V3</t>
    </r>
    <r>
      <rPr>
        <sz val="10"/>
        <rFont val="Noto Sans CJK SC"/>
        <family val="2"/>
      </rPr>
      <t xml:space="preserve">의 근거 통제 정책을 유지한 채 </t>
    </r>
    <r>
      <rPr>
        <sz val="10"/>
        <rFont val="맑은 고딕"/>
        <family val="3"/>
        <charset val="129"/>
      </rPr>
      <t xml:space="preserve">(a) </t>
    </r>
    <r>
      <rPr>
        <sz val="10"/>
        <rFont val="Noto Sans CJK SC"/>
        <family val="2"/>
      </rPr>
      <t>헤지 관형구 제거</t>
    </r>
    <r>
      <rPr>
        <sz val="10"/>
        <rFont val="맑은 고딕"/>
        <family val="3"/>
        <charset val="129"/>
      </rPr>
      <t xml:space="preserve">, (b) QA </t>
    </r>
    <r>
      <rPr>
        <sz val="10"/>
        <rFont val="Noto Sans CJK SC"/>
        <family val="2"/>
      </rPr>
      <t>차단 기준 완화</t>
    </r>
    <r>
      <rPr>
        <sz val="10"/>
        <rFont val="맑은 고딕"/>
        <family val="3"/>
        <charset val="129"/>
      </rPr>
      <t xml:space="preserve">, (c) </t>
    </r>
    <r>
      <rPr>
        <sz val="10"/>
        <rFont val="Noto Sans CJK SC"/>
        <family val="2"/>
      </rPr>
      <t>항목</t>
    </r>
    <r>
      <rPr>
        <sz val="10"/>
        <rFont val="맑은 고딕"/>
        <family val="3"/>
        <charset val="129"/>
      </rPr>
      <t>(Field)</t>
    </r>
    <r>
      <rPr>
        <sz val="10"/>
        <rFont val="Noto Sans CJK SC"/>
        <family val="2"/>
      </rPr>
      <t xml:space="preserve">이 요구하는 필수 요소를 체크리스트로 강제해 적합성 </t>
    </r>
    <r>
      <rPr>
        <sz val="10"/>
        <rFont val="맑은 고딕"/>
        <family val="3"/>
        <charset val="129"/>
      </rPr>
      <t>0.612</t>
    </r>
    <r>
      <rPr>
        <sz val="10"/>
        <rFont val="Noto Sans CJK SC"/>
        <family val="2"/>
      </rPr>
      <t xml:space="preserve">를 </t>
    </r>
    <r>
      <rPr>
        <sz val="10"/>
        <rFont val="맑은 고딕"/>
        <family val="3"/>
        <charset val="129"/>
      </rPr>
      <t xml:space="preserve">V2 </t>
    </r>
    <r>
      <rPr>
        <sz val="10"/>
        <rFont val="Noto Sans CJK SC"/>
        <family val="2"/>
      </rPr>
      <t xml:space="preserve">수준으로 끌어올리면 </t>
    </r>
    <r>
      <rPr>
        <sz val="10"/>
        <rFont val="맑은 고딕"/>
        <family val="3"/>
        <charset val="129"/>
      </rPr>
      <t>V3</t>
    </r>
    <r>
      <rPr>
        <sz val="10"/>
        <rFont val="Noto Sans CJK SC"/>
        <family val="2"/>
      </rPr>
      <t xml:space="preserve">가 두 관점 모두에서 </t>
    </r>
    <r>
      <rPr>
        <sz val="10"/>
        <rFont val="맑은 고딕"/>
        <family val="3"/>
        <charset val="129"/>
      </rPr>
      <t>V2</t>
    </r>
    <r>
      <rPr>
        <sz val="10"/>
        <rFont val="Noto Sans CJK SC"/>
        <family val="2"/>
      </rPr>
      <t>를 앞설 여지가 큽니다</t>
    </r>
    <r>
      <rPr>
        <sz val="10"/>
        <rFont val="맑은 고딕"/>
        <family val="3"/>
        <charset val="129"/>
      </rPr>
      <t xml:space="preserve">. </t>
    </r>
    <r>
      <rPr>
        <sz val="10"/>
        <rFont val="Noto Sans CJK SC"/>
        <family val="2"/>
      </rPr>
      <t xml:space="preserve">반대로 </t>
    </r>
    <r>
      <rPr>
        <sz val="10"/>
        <rFont val="맑은 고딕"/>
        <family val="3"/>
        <charset val="129"/>
      </rPr>
      <t>V2</t>
    </r>
    <r>
      <rPr>
        <sz val="10"/>
        <rFont val="Noto Sans CJK SC"/>
        <family val="2"/>
      </rPr>
      <t>를 쓰려면 후반부 문장의 출처 검증이 선행되어야 합니다</t>
    </r>
    <r>
      <rPr>
        <sz val="10"/>
        <rFont val="맑은 고딕"/>
        <family val="3"/>
        <charset val="129"/>
      </rPr>
      <t>.</t>
    </r>
  </si>
  <si>
    <t>총점 (02_종합비교 시트 연동)</t>
  </si>
  <si>
    <t>관점</t>
  </si>
  <si>
    <t>V2</t>
  </si>
  <si>
    <t>V3</t>
  </si>
  <si>
    <t>우세</t>
  </si>
  <si>
    <t>가중치A — 보고서 초안 품질</t>
  </si>
  <si>
    <t>가중치B — 사람이 쓴 글 같은가</t>
  </si>
  <si>
    <t>항목 승패 (10개 항목)</t>
  </si>
  <si>
    <t>정성 산출물 V2 vs V3 비교 — 평가 기준 설계</t>
  </si>
  <si>
    <r>
      <rPr>
        <i/>
        <sz val="10"/>
        <color rgb="FF555555"/>
        <rFont val="맑은 고딕"/>
        <family val="3"/>
        <charset val="129"/>
      </rPr>
      <t xml:space="preserve">V2: [langgraph][daewoong-company]final_report(2026.08.10) — </t>
    </r>
    <r>
      <rPr>
        <i/>
        <sz val="10"/>
        <color rgb="FF555555"/>
        <rFont val="Noto Sans CJK SC"/>
        <family val="2"/>
      </rPr>
      <t xml:space="preserve">시트 </t>
    </r>
    <r>
      <rPr>
        <i/>
        <sz val="10"/>
        <color rgb="FF555555"/>
        <rFont val="맑은 고딕"/>
        <family val="3"/>
        <charset val="129"/>
      </rPr>
      <t>consultant_safe_v10_1 · G</t>
    </r>
    <r>
      <rPr>
        <i/>
        <sz val="10"/>
        <color rgb="FF555555"/>
        <rFont val="Noto Sans CJK SC"/>
        <family val="2"/>
      </rPr>
      <t xml:space="preserve">열 </t>
    </r>
    <r>
      <rPr>
        <i/>
        <sz val="10"/>
        <color rgb="FF555555"/>
        <rFont val="맑은 고딕"/>
        <family val="3"/>
        <charset val="129"/>
      </rPr>
      <t>Final Answer</t>
    </r>
  </si>
  <si>
    <r>
      <rPr>
        <i/>
        <sz val="10"/>
        <color rgb="FF555555"/>
        <rFont val="맑은 고딕"/>
        <family val="3"/>
        <charset val="129"/>
      </rPr>
      <t xml:space="preserve">V3: [langgraph][v3][Daewoong]report-2026.08.11_9 — </t>
    </r>
    <r>
      <rPr>
        <i/>
        <sz val="10"/>
        <color rgb="FF555555"/>
        <rFont val="Noto Sans CJK SC"/>
        <family val="2"/>
      </rPr>
      <t xml:space="preserve">시트 </t>
    </r>
    <r>
      <rPr>
        <i/>
        <sz val="10"/>
        <color rgb="FF555555"/>
        <rFont val="맑은 고딕"/>
        <family val="3"/>
        <charset val="129"/>
      </rPr>
      <t>Qualitative · H</t>
    </r>
    <r>
      <rPr>
        <i/>
        <sz val="10"/>
        <color rgb="FF555555"/>
        <rFont val="Noto Sans CJK SC"/>
        <family val="2"/>
      </rPr>
      <t xml:space="preserve">열 </t>
    </r>
    <r>
      <rPr>
        <i/>
        <sz val="10"/>
        <color rgb="FF555555"/>
        <rFont val="맑은 고딕"/>
        <family val="3"/>
        <charset val="129"/>
      </rPr>
      <t>Final Answer</t>
    </r>
  </si>
  <si>
    <r>
      <rPr>
        <i/>
        <sz val="10"/>
        <color rgb="FF555555"/>
        <rFont val="맑은 고딕"/>
        <family val="3"/>
        <charset val="129"/>
      </rPr>
      <t>A</t>
    </r>
    <r>
      <rPr>
        <i/>
        <sz val="10"/>
        <color rgb="FF555555"/>
        <rFont val="Noto Sans CJK SC"/>
        <family val="2"/>
      </rPr>
      <t xml:space="preserve">열 </t>
    </r>
    <r>
      <rPr>
        <i/>
        <sz val="10"/>
        <color rgb="FF555555"/>
        <rFont val="맑은 고딕"/>
        <family val="3"/>
        <charset val="129"/>
      </rPr>
      <t xml:space="preserve">EBX Indicator </t>
    </r>
    <r>
      <rPr>
        <i/>
        <sz val="10"/>
        <color rgb="FF555555"/>
        <rFont val="Noto Sans CJK SC"/>
        <family val="2"/>
      </rPr>
      <t xml:space="preserve">기준으로 정합 — 양쪽 모두 </t>
    </r>
    <r>
      <rPr>
        <i/>
        <sz val="10"/>
        <color rgb="FF555555"/>
        <rFont val="맑은 고딕"/>
        <family val="3"/>
        <charset val="129"/>
      </rPr>
      <t>95</t>
    </r>
    <r>
      <rPr>
        <i/>
        <sz val="10"/>
        <color rgb="FF555555"/>
        <rFont val="Noto Sans CJK SC"/>
        <family val="2"/>
      </rPr>
      <t>개 지표</t>
    </r>
    <r>
      <rPr>
        <i/>
        <sz val="10"/>
        <color rgb="FF555555"/>
        <rFont val="맑은 고딕"/>
        <family val="3"/>
        <charset val="129"/>
      </rPr>
      <t xml:space="preserve">, 100% </t>
    </r>
    <r>
      <rPr>
        <i/>
        <sz val="10"/>
        <color rgb="FF555555"/>
        <rFont val="Noto Sans CJK SC"/>
        <family val="2"/>
      </rPr>
      <t xml:space="preserve">일치 </t>
    </r>
    <r>
      <rPr>
        <i/>
        <sz val="10"/>
        <color rgb="FF555555"/>
        <rFont val="맑은 고딕"/>
        <family val="3"/>
        <charset val="129"/>
      </rPr>
      <t>(</t>
    </r>
    <r>
      <rPr>
        <i/>
        <sz val="10"/>
        <color rgb="FF555555"/>
        <rFont val="Noto Sans CJK SC"/>
        <family val="2"/>
      </rPr>
      <t>누락</t>
    </r>
    <r>
      <rPr>
        <i/>
        <sz val="10"/>
        <color rgb="FF555555"/>
        <rFont val="맑은 고딕"/>
        <family val="3"/>
        <charset val="129"/>
      </rPr>
      <t>·</t>
    </r>
    <r>
      <rPr>
        <i/>
        <sz val="10"/>
        <color rgb="FF555555"/>
        <rFont val="Noto Sans CJK SC"/>
        <family val="2"/>
      </rPr>
      <t>초과 없음</t>
    </r>
    <r>
      <rPr>
        <i/>
        <sz val="10"/>
        <color rgb="FF555555"/>
        <rFont val="맑은 고딕"/>
        <family val="3"/>
        <charset val="129"/>
      </rPr>
      <t xml:space="preserve">). </t>
    </r>
    <r>
      <rPr>
        <i/>
        <sz val="10"/>
        <color rgb="FF555555"/>
        <rFont val="Noto Sans CJK SC"/>
        <family val="2"/>
      </rPr>
      <t xml:space="preserve">둘 다 작성된 </t>
    </r>
    <r>
      <rPr>
        <i/>
        <sz val="10"/>
        <color rgb="FF555555"/>
        <rFont val="맑은 고딕"/>
        <family val="3"/>
        <charset val="129"/>
      </rPr>
      <t>65</t>
    </r>
    <r>
      <rPr>
        <i/>
        <sz val="10"/>
        <color rgb="FF555555"/>
        <rFont val="Noto Sans CJK SC"/>
        <family val="2"/>
      </rPr>
      <t>개가 직접 비교 대상</t>
    </r>
    <r>
      <rPr>
        <i/>
        <sz val="10"/>
        <color rgb="FF555555"/>
        <rFont val="맑은 고딕"/>
        <family val="3"/>
        <charset val="129"/>
      </rPr>
      <t>.</t>
    </r>
  </si>
  <si>
    <t>왜 이 기준인가</t>
  </si>
  <si>
    <r>
      <rPr>
        <sz val="10"/>
        <rFont val="맑은 고딕"/>
        <family val="3"/>
        <charset val="129"/>
      </rPr>
      <t>"</t>
    </r>
    <r>
      <rPr>
        <sz val="10"/>
        <rFont val="Noto Sans CJK SC"/>
        <family val="2"/>
      </rPr>
      <t>사람이 쓴 것 같은가</t>
    </r>
    <r>
      <rPr>
        <sz val="10"/>
        <rFont val="맑은 고딕"/>
        <family val="3"/>
        <charset val="129"/>
      </rPr>
      <t>"</t>
    </r>
    <r>
      <rPr>
        <sz val="10"/>
        <rFont val="Noto Sans CJK SC"/>
        <family val="2"/>
      </rPr>
      <t>는 단일 척도로 측정되지 않습니다</t>
    </r>
    <r>
      <rPr>
        <sz val="10"/>
        <rFont val="맑은 고딕"/>
        <family val="3"/>
        <charset val="129"/>
      </rPr>
      <t xml:space="preserve">. </t>
    </r>
    <r>
      <rPr>
        <sz val="10"/>
        <rFont val="Noto Sans CJK SC"/>
        <family val="2"/>
      </rPr>
      <t>문헌상 두 갈래가 별개로 다뤄집니다</t>
    </r>
    <r>
      <rPr>
        <sz val="10"/>
        <rFont val="맑은 고딕"/>
        <family val="3"/>
        <charset val="129"/>
      </rPr>
      <t xml:space="preserve">. (1) </t>
    </r>
    <r>
      <rPr>
        <sz val="10"/>
        <rFont val="Noto Sans CJK SC"/>
        <family val="2"/>
      </rPr>
      <t xml:space="preserve">내용 품질 — 지속가능경영보고서라는 장르 자체의 품질 기준은 </t>
    </r>
    <r>
      <rPr>
        <sz val="10"/>
        <rFont val="맑은 고딕"/>
        <family val="3"/>
        <charset val="129"/>
      </rPr>
      <t>GRI 1: Foundation 2021</t>
    </r>
    <r>
      <rPr>
        <sz val="10"/>
        <rFont val="Noto Sans CJK SC"/>
        <family val="2"/>
      </rPr>
      <t>의 보고원칙</t>
    </r>
    <r>
      <rPr>
        <sz val="10"/>
        <rFont val="맑은 고딕"/>
        <family val="3"/>
        <charset val="129"/>
      </rPr>
      <t>(</t>
    </r>
    <r>
      <rPr>
        <sz val="10"/>
        <rFont val="Noto Sans CJK SC"/>
        <family val="2"/>
      </rPr>
      <t>정확성</t>
    </r>
    <r>
      <rPr>
        <sz val="10"/>
        <rFont val="맑은 고딕"/>
        <family val="3"/>
        <charset val="129"/>
      </rPr>
      <t>·</t>
    </r>
    <r>
      <rPr>
        <sz val="10"/>
        <rFont val="Noto Sans CJK SC"/>
        <family val="2"/>
      </rPr>
      <t>균형</t>
    </r>
    <r>
      <rPr>
        <sz val="10"/>
        <rFont val="맑은 고딕"/>
        <family val="3"/>
        <charset val="129"/>
      </rPr>
      <t>·</t>
    </r>
    <r>
      <rPr>
        <sz val="10"/>
        <rFont val="Noto Sans CJK SC"/>
        <family val="2"/>
      </rPr>
      <t>명확성</t>
    </r>
    <r>
      <rPr>
        <sz val="10"/>
        <rFont val="맑은 고딕"/>
        <family val="3"/>
        <charset val="129"/>
      </rPr>
      <t>·</t>
    </r>
    <r>
      <rPr>
        <sz val="10"/>
        <rFont val="Noto Sans CJK SC"/>
        <family val="2"/>
      </rPr>
      <t>비교가능성</t>
    </r>
    <r>
      <rPr>
        <sz val="10"/>
        <rFont val="맑은 고딕"/>
        <family val="3"/>
        <charset val="129"/>
      </rPr>
      <t>·</t>
    </r>
    <r>
      <rPr>
        <sz val="10"/>
        <rFont val="Noto Sans CJK SC"/>
        <family val="2"/>
      </rPr>
      <t>완전성</t>
    </r>
    <r>
      <rPr>
        <sz val="10"/>
        <rFont val="맑은 고딕"/>
        <family val="3"/>
        <charset val="129"/>
      </rPr>
      <t>·</t>
    </r>
    <r>
      <rPr>
        <sz val="10"/>
        <rFont val="Noto Sans CJK SC"/>
        <family val="2"/>
      </rPr>
      <t>검증가능성</t>
    </r>
    <r>
      <rPr>
        <sz val="10"/>
        <rFont val="맑은 고딕"/>
        <family val="3"/>
        <charset val="129"/>
      </rPr>
      <t>)</t>
    </r>
    <r>
      <rPr>
        <sz val="10"/>
        <rFont val="Noto Sans CJK SC"/>
        <family val="2"/>
      </rPr>
      <t>이 사실상 표준입니다</t>
    </r>
    <r>
      <rPr>
        <sz val="10"/>
        <rFont val="맑은 고딕"/>
        <family val="3"/>
        <charset val="129"/>
      </rPr>
      <t xml:space="preserve">. (2) </t>
    </r>
    <r>
      <rPr>
        <sz val="10"/>
        <rFont val="Noto Sans CJK SC"/>
        <family val="2"/>
      </rPr>
      <t xml:space="preserve">문체 인간유사성 — </t>
    </r>
    <r>
      <rPr>
        <sz val="10"/>
        <rFont val="맑은 고딕"/>
        <family val="3"/>
        <charset val="129"/>
      </rPr>
      <t xml:space="preserve">AI </t>
    </r>
    <r>
      <rPr>
        <sz val="10"/>
        <rFont val="Noto Sans CJK SC"/>
        <family val="2"/>
      </rPr>
      <t>텍스트 탐지 연구는 일관되게 문장 길이 변동</t>
    </r>
    <r>
      <rPr>
        <sz val="10"/>
        <rFont val="맑은 고딕"/>
        <family val="3"/>
        <charset val="129"/>
      </rPr>
      <t>(</t>
    </r>
    <r>
      <rPr>
        <sz val="10"/>
        <rFont val="Noto Sans CJK SC"/>
        <family val="2"/>
      </rPr>
      <t>버스티니스</t>
    </r>
    <r>
      <rPr>
        <sz val="10"/>
        <rFont val="맑은 고딕"/>
        <family val="3"/>
        <charset val="129"/>
      </rPr>
      <t xml:space="preserve">), </t>
    </r>
    <r>
      <rPr>
        <sz val="10"/>
        <rFont val="Noto Sans CJK SC"/>
        <family val="2"/>
      </rPr>
      <t>어휘 다양성</t>
    </r>
    <r>
      <rPr>
        <sz val="10"/>
        <rFont val="맑은 고딕"/>
        <family val="3"/>
        <charset val="129"/>
      </rPr>
      <t xml:space="preserve">, </t>
    </r>
    <r>
      <rPr>
        <sz val="10"/>
        <rFont val="Noto Sans CJK SC"/>
        <family val="2"/>
      </rPr>
      <t>상투구 반복률을 인간</t>
    </r>
    <r>
      <rPr>
        <sz val="10"/>
        <rFont val="맑은 고딕"/>
        <family val="3"/>
        <charset val="129"/>
      </rPr>
      <t>/</t>
    </r>
    <r>
      <rPr>
        <sz val="10"/>
        <rFont val="Noto Sans CJK SC"/>
        <family val="2"/>
      </rPr>
      <t>기계 구분 신호로 씁니다</t>
    </r>
    <r>
      <rPr>
        <sz val="10"/>
        <rFont val="맑은 고딕"/>
        <family val="3"/>
        <charset val="129"/>
      </rPr>
      <t xml:space="preserve">. </t>
    </r>
    <r>
      <rPr>
        <sz val="10"/>
        <rFont val="Noto Sans CJK SC"/>
        <family val="2"/>
      </rPr>
      <t xml:space="preserve">여기에 </t>
    </r>
    <r>
      <rPr>
        <sz val="10"/>
        <rFont val="맑은 고딕"/>
        <family val="3"/>
        <charset val="129"/>
      </rPr>
      <t xml:space="preserve">NLG </t>
    </r>
    <r>
      <rPr>
        <sz val="10"/>
        <rFont val="Noto Sans CJK SC"/>
        <family val="2"/>
      </rPr>
      <t>인간평가에서 표준적으로 쓰이는 축</t>
    </r>
    <r>
      <rPr>
        <sz val="10"/>
        <rFont val="맑은 고딕"/>
        <family val="3"/>
        <charset val="129"/>
      </rPr>
      <t>(</t>
    </r>
    <r>
      <rPr>
        <sz val="10"/>
        <rFont val="Noto Sans CJK SC"/>
        <family val="2"/>
      </rPr>
      <t>유창성</t>
    </r>
    <r>
      <rPr>
        <sz val="10"/>
        <rFont val="맑은 고딕"/>
        <family val="3"/>
        <charset val="129"/>
      </rPr>
      <t>·</t>
    </r>
    <r>
      <rPr>
        <sz val="10"/>
        <rFont val="Noto Sans CJK SC"/>
        <family val="2"/>
      </rPr>
      <t>충실성</t>
    </r>
    <r>
      <rPr>
        <sz val="10"/>
        <rFont val="맑은 고딕"/>
        <family val="3"/>
        <charset val="129"/>
      </rPr>
      <t>·</t>
    </r>
    <r>
      <rPr>
        <sz val="10"/>
        <rFont val="Noto Sans CJK SC"/>
        <family val="2"/>
      </rPr>
      <t>정보성</t>
    </r>
    <r>
      <rPr>
        <sz val="10"/>
        <rFont val="맑은 고딕"/>
        <family val="3"/>
        <charset val="129"/>
      </rPr>
      <t>)</t>
    </r>
    <r>
      <rPr>
        <sz val="10"/>
        <rFont val="Noto Sans CJK SC"/>
        <family val="2"/>
      </rPr>
      <t xml:space="preserve">을 겹쳐 </t>
    </r>
    <r>
      <rPr>
        <sz val="10"/>
        <rFont val="맑은 고딕"/>
        <family val="3"/>
        <charset val="129"/>
      </rPr>
      <t>10</t>
    </r>
    <r>
      <rPr>
        <sz val="10"/>
        <rFont val="Noto Sans CJK SC"/>
        <family val="2"/>
      </rPr>
      <t>개 항목을 구성했습니다</t>
    </r>
    <r>
      <rPr>
        <sz val="10"/>
        <rFont val="맑은 고딕"/>
        <family val="3"/>
        <charset val="129"/>
      </rPr>
      <t xml:space="preserve">. </t>
    </r>
    <r>
      <rPr>
        <sz val="10"/>
        <rFont val="Noto Sans CJK SC"/>
        <family val="2"/>
      </rPr>
      <t>각 항목은 이 두 파일에서 실제로 계산 가능한 대리지표</t>
    </r>
    <r>
      <rPr>
        <sz val="10"/>
        <rFont val="맑은 고딕"/>
        <family val="3"/>
        <charset val="129"/>
      </rPr>
      <t>(proxy)</t>
    </r>
    <r>
      <rPr>
        <sz val="10"/>
        <rFont val="Noto Sans CJK SC"/>
        <family val="2"/>
      </rPr>
      <t>로만 정의했습니다 — 주관적 인상 점수는 넣지 않았습니다</t>
    </r>
    <r>
      <rPr>
        <sz val="10"/>
        <rFont val="맑은 고딕"/>
        <family val="3"/>
        <charset val="129"/>
      </rPr>
      <t>.</t>
    </r>
  </si>
  <si>
    <t>항목</t>
  </si>
  <si>
    <t>무엇을 보는가</t>
  </si>
  <si>
    <t>측정 방법(이 파일에서 실제 계산한 값)</t>
  </si>
  <si>
    <t>근거 문헌</t>
  </si>
  <si>
    <t>가중치A(보고품질)</t>
  </si>
  <si>
    <t>가중치B(인간유사성)</t>
  </si>
  <si>
    <r>
      <rPr>
        <sz val="10"/>
        <rFont val="맑은 고딕"/>
        <family val="3"/>
        <charset val="129"/>
      </rPr>
      <t xml:space="preserve">C1 </t>
    </r>
    <r>
      <rPr>
        <sz val="10"/>
        <rFont val="Noto Sans CJK SC"/>
        <family val="2"/>
      </rPr>
      <t>완전성</t>
    </r>
  </si>
  <si>
    <t>요구된 95개 지표 중 실제로 글이 채워진 비율</t>
  </si>
  <si>
    <t>비어있지 않은 셀 비율</t>
  </si>
  <si>
    <t>GRI 1 — Completeness</t>
  </si>
  <si>
    <r>
      <rPr>
        <sz val="10"/>
        <rFont val="맑은 고딕"/>
        <family val="3"/>
        <charset val="129"/>
      </rPr>
      <t xml:space="preserve">C2 </t>
    </r>
    <r>
      <rPr>
        <sz val="10"/>
        <rFont val="Noto Sans CJK SC"/>
        <family val="2"/>
      </rPr>
      <t>항목 적합성</t>
    </r>
  </si>
  <si>
    <r>
      <rPr>
        <sz val="10"/>
        <rFont val="맑은 고딕"/>
        <family val="3"/>
        <charset val="129"/>
      </rPr>
      <t>Field(</t>
    </r>
    <r>
      <rPr>
        <sz val="10"/>
        <rFont val="Noto Sans CJK SC"/>
        <family val="2"/>
      </rPr>
      <t>항목명</t>
    </r>
    <r>
      <rPr>
        <sz val="10"/>
        <rFont val="맑은 고딕"/>
        <family val="3"/>
        <charset val="129"/>
      </rPr>
      <t>)</t>
    </r>
    <r>
      <rPr>
        <sz val="10"/>
        <rFont val="Noto Sans CJK SC"/>
        <family val="2"/>
      </rPr>
      <t>가 요구하는 주제를 본문이 실제로 다루는가</t>
    </r>
  </si>
  <si>
    <r>
      <rPr>
        <sz val="10"/>
        <rFont val="맑은 고딕"/>
        <family val="3"/>
        <charset val="129"/>
      </rPr>
      <t xml:space="preserve">Field </t>
    </r>
    <r>
      <rPr>
        <sz val="10"/>
        <rFont val="Noto Sans CJK SC"/>
        <family val="2"/>
      </rPr>
      <t>말단 키워드가 본문에 출현하는 비율</t>
    </r>
  </si>
  <si>
    <t>GRI 1 — Completeness / NLG Relevance</t>
  </si>
  <si>
    <r>
      <rPr>
        <sz val="10"/>
        <rFont val="맑은 고딕"/>
        <family val="3"/>
        <charset val="129"/>
      </rPr>
      <t xml:space="preserve">C3 </t>
    </r>
    <r>
      <rPr>
        <sz val="10"/>
        <rFont val="Noto Sans CJK SC"/>
        <family val="2"/>
      </rPr>
      <t>근거 충실성</t>
    </r>
    <r>
      <rPr>
        <sz val="10"/>
        <rFont val="맑은 고딕"/>
        <family val="3"/>
        <charset val="129"/>
      </rPr>
      <t>·</t>
    </r>
    <r>
      <rPr>
        <sz val="10"/>
        <rFont val="Noto Sans CJK SC"/>
        <family val="2"/>
      </rPr>
      <t>검증가능성</t>
    </r>
  </si>
  <si>
    <t>본문이 Original Evidence에 실제로 근거하는가(=지어내지 않았는가)</t>
  </si>
  <si>
    <t>본문 문자 4-gram 중 Evidence에도 존재하는 비율</t>
  </si>
  <si>
    <t>GRI 1 — Accuracy, Verifiability / NLG Faithfulness</t>
  </si>
  <si>
    <r>
      <rPr>
        <sz val="10"/>
        <rFont val="맑은 고딕"/>
        <family val="3"/>
        <charset val="129"/>
      </rPr>
      <t xml:space="preserve">C4 </t>
    </r>
    <r>
      <rPr>
        <sz val="10"/>
        <rFont val="Noto Sans CJK SC"/>
        <family val="2"/>
      </rPr>
      <t>균형성</t>
    </r>
  </si>
  <si>
    <t>성과만 나열하지 않고 리스크·미흡·과제도 언급하는가</t>
  </si>
  <si>
    <t>부정·과제 어휘(리스크/미흡/한계/개선 필요 등) 포함 답변 비율</t>
  </si>
  <si>
    <t>GRI 1 — Balance</t>
  </si>
  <si>
    <r>
      <rPr>
        <sz val="10"/>
        <rFont val="맑은 고딕"/>
        <family val="3"/>
        <charset val="129"/>
      </rPr>
      <t xml:space="preserve">C5 </t>
    </r>
    <r>
      <rPr>
        <sz val="10"/>
        <rFont val="Noto Sans CJK SC"/>
        <family val="2"/>
      </rPr>
      <t>구체성</t>
    </r>
  </si>
  <si>
    <t>수치·연도·고유명사 등 검증 가능한 사실이 들어있는가</t>
  </si>
  <si>
    <r>
      <rPr>
        <sz val="10"/>
        <rFont val="맑은 고딕"/>
        <family val="3"/>
        <charset val="129"/>
      </rPr>
      <t>1</t>
    </r>
    <r>
      <rPr>
        <sz val="10"/>
        <rFont val="Noto Sans CJK SC"/>
        <family val="2"/>
      </rPr>
      <t>천자당 숫자 출현 수</t>
    </r>
    <r>
      <rPr>
        <sz val="10"/>
        <rFont val="맑은 고딕"/>
        <family val="3"/>
        <charset val="129"/>
      </rPr>
      <t xml:space="preserve">, </t>
    </r>
    <r>
      <rPr>
        <sz val="10"/>
        <rFont val="Noto Sans CJK SC"/>
        <family val="2"/>
      </rPr>
      <t>연도 언급 답변 비율</t>
    </r>
  </si>
  <si>
    <t>GRI 1 — Accuracy / NLG Informativeness</t>
  </si>
  <si>
    <r>
      <rPr>
        <sz val="10"/>
        <rFont val="맑은 고딕"/>
        <family val="3"/>
        <charset val="129"/>
      </rPr>
      <t xml:space="preserve">C6 </t>
    </r>
    <r>
      <rPr>
        <sz val="10"/>
        <rFont val="Noto Sans CJK SC"/>
        <family val="2"/>
      </rPr>
      <t>명확성</t>
    </r>
  </si>
  <si>
    <t>한 문장이 지나치게 길어 독해를 방해하지 않는가</t>
  </si>
  <si>
    <t>평균 문장 길이, 120자 초과 장문 비율</t>
  </si>
  <si>
    <t>GRI 1 — Clarity</t>
  </si>
  <si>
    <r>
      <rPr>
        <sz val="10"/>
        <rFont val="맑은 고딕"/>
        <family val="3"/>
        <charset val="129"/>
      </rPr>
      <t xml:space="preserve">C7 </t>
    </r>
    <r>
      <rPr>
        <sz val="10"/>
        <rFont val="Noto Sans CJK SC"/>
        <family val="2"/>
      </rPr>
      <t>문장 자연스러움</t>
    </r>
    <r>
      <rPr>
        <sz val="10"/>
        <rFont val="맑은 고딕"/>
        <family val="3"/>
        <charset val="129"/>
      </rPr>
      <t>·</t>
    </r>
    <r>
      <rPr>
        <sz val="10"/>
        <rFont val="Noto Sans CJK SC"/>
        <family val="2"/>
      </rPr>
      <t>문법 무결성</t>
    </r>
  </si>
  <si>
    <t>사람이 쓴 문장으로 읽히는가 / 기계적 삽입구가 없는가</t>
  </si>
  <si>
    <t>출처 헤지구("~자료상") 출현 답변 비율, 문장 중간 접속 파손 건수</t>
  </si>
  <si>
    <t>NLG Human Eval — Fluency</t>
  </si>
  <si>
    <r>
      <rPr>
        <sz val="10"/>
        <rFont val="맑은 고딕"/>
        <family val="3"/>
        <charset val="129"/>
      </rPr>
      <t xml:space="preserve">C8 </t>
    </r>
    <r>
      <rPr>
        <sz val="10"/>
        <rFont val="Noto Sans CJK SC"/>
        <family val="2"/>
      </rPr>
      <t>문체 리듬 다양성</t>
    </r>
    <r>
      <rPr>
        <sz val="10"/>
        <rFont val="맑은 고딕"/>
        <family val="3"/>
        <charset val="129"/>
      </rPr>
      <t>(</t>
    </r>
    <r>
      <rPr>
        <sz val="10"/>
        <rFont val="Noto Sans CJK SC"/>
        <family val="2"/>
      </rPr>
      <t>버스티니스</t>
    </r>
    <r>
      <rPr>
        <sz val="10"/>
        <rFont val="맑은 고딕"/>
        <family val="3"/>
        <charset val="129"/>
      </rPr>
      <t>)</t>
    </r>
  </si>
  <si>
    <t>문장 길이가 단조롭지 않고 인간처럼 들쭉날쭉한가</t>
  </si>
  <si>
    <t>문장 길이 변동계수(CV) — 3문장 이상 답변으로 길이 통제</t>
  </si>
  <si>
    <r>
      <rPr>
        <sz val="10"/>
        <rFont val="맑은 고딕"/>
        <family val="3"/>
        <charset val="129"/>
      </rPr>
      <t xml:space="preserve">AI </t>
    </r>
    <r>
      <rPr>
        <sz val="10"/>
        <rFont val="Noto Sans CJK SC"/>
        <family val="2"/>
      </rPr>
      <t xml:space="preserve">탐지 문헌 — </t>
    </r>
    <r>
      <rPr>
        <sz val="10"/>
        <rFont val="맑은 고딕"/>
        <family val="3"/>
        <charset val="129"/>
      </rPr>
      <t>Burstiness</t>
    </r>
  </si>
  <si>
    <r>
      <rPr>
        <sz val="10"/>
        <rFont val="맑은 고딕"/>
        <family val="3"/>
        <charset val="129"/>
      </rPr>
      <t xml:space="preserve">C9 </t>
    </r>
    <r>
      <rPr>
        <sz val="10"/>
        <rFont val="Noto Sans CJK SC"/>
        <family val="2"/>
      </rPr>
      <t>상투어</t>
    </r>
    <r>
      <rPr>
        <sz val="10"/>
        <rFont val="맑은 고딕"/>
        <family val="3"/>
        <charset val="129"/>
      </rPr>
      <t>·</t>
    </r>
    <r>
      <rPr>
        <sz val="10"/>
        <rFont val="Noto Sans CJK SC"/>
        <family val="2"/>
      </rPr>
      <t>템플릿 회피</t>
    </r>
  </si>
  <si>
    <r>
      <rPr>
        <sz val="10"/>
        <rFont val="맑은 고딕"/>
        <family val="3"/>
        <charset val="129"/>
      </rPr>
      <t>"</t>
    </r>
    <r>
      <rPr>
        <sz val="10"/>
        <rFont val="Noto Sans CJK SC"/>
        <family val="2"/>
      </rPr>
      <t>지속적으로</t>
    </r>
    <r>
      <rPr>
        <sz val="10"/>
        <rFont val="맑은 고딕"/>
        <family val="3"/>
        <charset val="129"/>
      </rPr>
      <t>/</t>
    </r>
    <r>
      <rPr>
        <sz val="10"/>
        <rFont val="Noto Sans CJK SC"/>
        <family val="2"/>
      </rPr>
      <t>적극적으로</t>
    </r>
    <r>
      <rPr>
        <sz val="10"/>
        <rFont val="맑은 고딕"/>
        <family val="3"/>
        <charset val="129"/>
      </rPr>
      <t>/</t>
    </r>
    <r>
      <rPr>
        <sz val="10"/>
        <rFont val="Noto Sans CJK SC"/>
        <family val="2"/>
      </rPr>
      <t>체계적으로</t>
    </r>
    <r>
      <rPr>
        <sz val="10"/>
        <rFont val="맑은 고딕"/>
        <family val="3"/>
        <charset val="129"/>
      </rPr>
      <t xml:space="preserve">" </t>
    </r>
    <r>
      <rPr>
        <sz val="10"/>
        <rFont val="Noto Sans CJK SC"/>
        <family val="2"/>
      </rPr>
      <t>류 무내용 표현이 과하지 않은가</t>
    </r>
  </si>
  <si>
    <r>
      <rPr>
        <sz val="10"/>
        <rFont val="맑은 고딕"/>
        <family val="3"/>
        <charset val="129"/>
      </rPr>
      <t>1</t>
    </r>
    <r>
      <rPr>
        <sz val="10"/>
        <rFont val="Noto Sans CJK SC"/>
        <family val="2"/>
      </rPr>
      <t>천자당 상투어 출현 수</t>
    </r>
    <r>
      <rPr>
        <sz val="10"/>
        <rFont val="맑은 고딕"/>
        <family val="3"/>
        <charset val="129"/>
      </rPr>
      <t>(</t>
    </r>
    <r>
      <rPr>
        <sz val="10"/>
        <rFont val="Noto Sans CJK SC"/>
        <family val="2"/>
      </rPr>
      <t>낮을수록 우수</t>
    </r>
    <r>
      <rPr>
        <sz val="10"/>
        <rFont val="맑은 고딕"/>
        <family val="3"/>
        <charset val="129"/>
      </rPr>
      <t>)</t>
    </r>
  </si>
  <si>
    <r>
      <rPr>
        <sz val="10"/>
        <rFont val="맑은 고딕"/>
        <family val="3"/>
        <charset val="129"/>
      </rPr>
      <t xml:space="preserve">AI </t>
    </r>
    <r>
      <rPr>
        <sz val="10"/>
        <rFont val="Noto Sans CJK SC"/>
        <family val="2"/>
      </rPr>
      <t xml:space="preserve">탐지 문헌 — </t>
    </r>
    <r>
      <rPr>
        <sz val="10"/>
        <rFont val="맑은 고딕"/>
        <family val="3"/>
        <charset val="129"/>
      </rPr>
      <t>Lexical repetitiveness</t>
    </r>
  </si>
  <si>
    <r>
      <rPr>
        <sz val="10"/>
        <rFont val="맑은 고딕"/>
        <family val="3"/>
        <charset val="129"/>
      </rPr>
      <t xml:space="preserve">C10 </t>
    </r>
    <r>
      <rPr>
        <sz val="10"/>
        <rFont val="Noto Sans CJK SC"/>
        <family val="2"/>
      </rPr>
      <t>어휘 다양성</t>
    </r>
  </si>
  <si>
    <t>같은 단어를 돌려쓰지 않는가</t>
  </si>
  <si>
    <r>
      <rPr>
        <sz val="10"/>
        <rFont val="맑은 고딕"/>
        <family val="3"/>
        <charset val="129"/>
      </rPr>
      <t>MATTR(</t>
    </r>
    <r>
      <rPr>
        <sz val="10"/>
        <rFont val="Noto Sans CJK SC"/>
        <family val="2"/>
      </rPr>
      <t xml:space="preserve">이동창 </t>
    </r>
    <r>
      <rPr>
        <sz val="10"/>
        <rFont val="맑은 고딕"/>
        <family val="3"/>
        <charset val="129"/>
      </rPr>
      <t>40</t>
    </r>
    <r>
      <rPr>
        <sz val="10"/>
        <rFont val="Noto Sans CJK SC"/>
        <family val="2"/>
      </rPr>
      <t xml:space="preserve">어절 </t>
    </r>
    <r>
      <rPr>
        <sz val="10"/>
        <rFont val="맑은 고딕"/>
        <family val="3"/>
        <charset val="129"/>
      </rPr>
      <t xml:space="preserve">Type-Token Ratio) — </t>
    </r>
    <r>
      <rPr>
        <sz val="10"/>
        <rFont val="Noto Sans CJK SC"/>
        <family val="2"/>
      </rPr>
      <t>길이 통제</t>
    </r>
  </si>
  <si>
    <r>
      <rPr>
        <sz val="10"/>
        <rFont val="맑은 고딕"/>
        <family val="3"/>
        <charset val="129"/>
      </rPr>
      <t xml:space="preserve">AI </t>
    </r>
    <r>
      <rPr>
        <sz val="10"/>
        <rFont val="Noto Sans CJK SC"/>
        <family val="2"/>
      </rPr>
      <t xml:space="preserve">탐지 문헌 — </t>
    </r>
    <r>
      <rPr>
        <sz val="10"/>
        <rFont val="맑은 고딕"/>
        <family val="3"/>
        <charset val="129"/>
      </rPr>
      <t>Lexical density / TTR</t>
    </r>
  </si>
  <si>
    <t>합계</t>
  </si>
  <si>
    <t>가중치 두 벌을 쓰는 이유</t>
  </si>
  <si>
    <t>가중치A는 "보고서 초안으로서 얼마나 쓸 만한가"를 봅니다 — 근거 충실성과 완전성에 무게를 둡니다. 가중치B는 요청하신 "사람이 쓴 것과 얼마나 비슷한가"를 봅니다 — 유창성·명확성·문체 지표에 무게를 둡니다. 두 관점에서 승자가 갈릴 수 있으므로 분리했습니다. 가중치는 조정 가능한 입력값입니다(E·F열, 노란색).</t>
  </si>
  <si>
    <t>출처</t>
  </si>
  <si>
    <r>
      <rPr>
        <sz val="9"/>
        <color rgb="FF555555"/>
        <rFont val="맑은 고딕"/>
        <family val="3"/>
        <charset val="129"/>
      </rPr>
      <t xml:space="preserve">· GRI 1: Foundation 2021 — </t>
    </r>
    <r>
      <rPr>
        <sz val="9"/>
        <color rgb="FF555555"/>
        <rFont val="Noto Sans CJK SC"/>
        <family val="2"/>
      </rPr>
      <t xml:space="preserve">보고원칙 </t>
    </r>
    <r>
      <rPr>
        <sz val="9"/>
        <color rgb="FF555555"/>
        <rFont val="맑은 고딕"/>
        <family val="3"/>
        <charset val="129"/>
      </rPr>
      <t>8</t>
    </r>
    <r>
      <rPr>
        <sz val="9"/>
        <color rgb="FF555555"/>
        <rFont val="Noto Sans CJK SC"/>
        <family val="2"/>
      </rPr>
      <t>개</t>
    </r>
    <r>
      <rPr>
        <sz val="9"/>
        <color rgb="FF555555"/>
        <rFont val="맑은 고딕"/>
        <family val="3"/>
        <charset val="129"/>
      </rPr>
      <t>(</t>
    </r>
    <r>
      <rPr>
        <sz val="9"/>
        <color rgb="FF555555"/>
        <rFont val="Noto Sans CJK SC"/>
        <family val="2"/>
      </rPr>
      <t>정확성</t>
    </r>
    <r>
      <rPr>
        <sz val="9"/>
        <color rgb="FF555555"/>
        <rFont val="맑은 고딕"/>
        <family val="3"/>
        <charset val="129"/>
      </rPr>
      <t>·</t>
    </r>
    <r>
      <rPr>
        <sz val="9"/>
        <color rgb="FF555555"/>
        <rFont val="Noto Sans CJK SC"/>
        <family val="2"/>
      </rPr>
      <t>균형</t>
    </r>
    <r>
      <rPr>
        <sz val="9"/>
        <color rgb="FF555555"/>
        <rFont val="맑은 고딕"/>
        <family val="3"/>
        <charset val="129"/>
      </rPr>
      <t>·</t>
    </r>
    <r>
      <rPr>
        <sz val="9"/>
        <color rgb="FF555555"/>
        <rFont val="Noto Sans CJK SC"/>
        <family val="2"/>
      </rPr>
      <t>명확성</t>
    </r>
    <r>
      <rPr>
        <sz val="9"/>
        <color rgb="FF555555"/>
        <rFont val="맑은 고딕"/>
        <family val="3"/>
        <charset val="129"/>
      </rPr>
      <t>·</t>
    </r>
    <r>
      <rPr>
        <sz val="9"/>
        <color rgb="FF555555"/>
        <rFont val="Noto Sans CJK SC"/>
        <family val="2"/>
      </rPr>
      <t>비교가능성</t>
    </r>
    <r>
      <rPr>
        <sz val="9"/>
        <color rgb="FF555555"/>
        <rFont val="맑은 고딕"/>
        <family val="3"/>
        <charset val="129"/>
      </rPr>
      <t>·</t>
    </r>
    <r>
      <rPr>
        <sz val="9"/>
        <color rgb="FF555555"/>
        <rFont val="Noto Sans CJK SC"/>
        <family val="2"/>
      </rPr>
      <t>완전성</t>
    </r>
    <r>
      <rPr>
        <sz val="9"/>
        <color rgb="FF555555"/>
        <rFont val="맑은 고딕"/>
        <family val="3"/>
        <charset val="129"/>
      </rPr>
      <t>·</t>
    </r>
    <r>
      <rPr>
        <sz val="9"/>
        <color rgb="FF555555"/>
        <rFont val="Noto Sans CJK SC"/>
        <family val="2"/>
      </rPr>
      <t>지속가능성 맥락</t>
    </r>
    <r>
      <rPr>
        <sz val="9"/>
        <color rgb="FF555555"/>
        <rFont val="맑은 고딕"/>
        <family val="3"/>
        <charset val="129"/>
      </rPr>
      <t>·</t>
    </r>
    <r>
      <rPr>
        <sz val="9"/>
        <color rgb="FF555555"/>
        <rFont val="Noto Sans CJK SC"/>
        <family val="2"/>
      </rPr>
      <t>적시성</t>
    </r>
    <r>
      <rPr>
        <sz val="9"/>
        <color rgb="FF555555"/>
        <rFont val="맑은 고딕"/>
        <family val="3"/>
        <charset val="129"/>
      </rPr>
      <t>·</t>
    </r>
    <r>
      <rPr>
        <sz val="9"/>
        <color rgb="FF555555"/>
        <rFont val="Noto Sans CJK SC"/>
        <family val="2"/>
      </rPr>
      <t>검증가능성</t>
    </r>
    <r>
      <rPr>
        <sz val="9"/>
        <color rgb="FF555555"/>
        <rFont val="맑은 고딕"/>
        <family val="3"/>
        <charset val="129"/>
      </rPr>
      <t>). globalreporting.org</t>
    </r>
  </si>
  <si>
    <r>
      <rPr>
        <sz val="9"/>
        <color rgb="FF555555"/>
        <rFont val="맑은 고딕"/>
        <family val="3"/>
        <charset val="129"/>
      </rPr>
      <t xml:space="preserve">· Howcroft et al. (2020), "Twenty Years of Confusion in Human Evaluation", INLG — NLG </t>
    </r>
    <r>
      <rPr>
        <sz val="9"/>
        <color rgb="FF555555"/>
        <rFont val="Noto Sans CJK SC"/>
        <family val="2"/>
      </rPr>
      <t>인간평가 표준 축</t>
    </r>
    <r>
      <rPr>
        <sz val="9"/>
        <color rgb="FF555555"/>
        <rFont val="맑은 고딕"/>
        <family val="3"/>
        <charset val="129"/>
      </rPr>
      <t>(</t>
    </r>
    <r>
      <rPr>
        <sz val="9"/>
        <color rgb="FF555555"/>
        <rFont val="Noto Sans CJK SC"/>
        <family val="2"/>
      </rPr>
      <t>유창성</t>
    </r>
    <r>
      <rPr>
        <sz val="9"/>
        <color rgb="FF555555"/>
        <rFont val="맑은 고딕"/>
        <family val="3"/>
        <charset val="129"/>
      </rPr>
      <t>/</t>
    </r>
    <r>
      <rPr>
        <sz val="9"/>
        <color rgb="FF555555"/>
        <rFont val="Noto Sans CJK SC"/>
        <family val="2"/>
      </rPr>
      <t>충실성</t>
    </r>
    <r>
      <rPr>
        <sz val="9"/>
        <color rgb="FF555555"/>
        <rFont val="맑은 고딕"/>
        <family val="3"/>
        <charset val="129"/>
      </rPr>
      <t>/</t>
    </r>
    <r>
      <rPr>
        <sz val="9"/>
        <color rgb="FF555555"/>
        <rFont val="Noto Sans CJK SC"/>
        <family val="2"/>
      </rPr>
      <t>정보성</t>
    </r>
    <r>
      <rPr>
        <sz val="9"/>
        <color rgb="FF555555"/>
        <rFont val="맑은 고딕"/>
        <family val="3"/>
        <charset val="129"/>
      </rPr>
      <t>). aclanthology.org/2020.inlg-1.23</t>
    </r>
  </si>
  <si>
    <r>
      <rPr>
        <sz val="9"/>
        <color rgb="FF555555"/>
        <rFont val="맑은 고딕"/>
        <family val="3"/>
        <charset val="129"/>
      </rPr>
      <t xml:space="preserve">· AI </t>
    </r>
    <r>
      <rPr>
        <sz val="9"/>
        <color rgb="FF555555"/>
        <rFont val="Noto Sans CJK SC"/>
        <family val="2"/>
      </rPr>
      <t xml:space="preserve">생성문 탐지 문헌 — </t>
    </r>
    <r>
      <rPr>
        <sz val="9"/>
        <color rgb="FF555555"/>
        <rFont val="맑은 고딕"/>
        <family val="3"/>
        <charset val="129"/>
      </rPr>
      <t xml:space="preserve">AI </t>
    </r>
    <r>
      <rPr>
        <sz val="9"/>
        <color rgb="FF555555"/>
        <rFont val="Noto Sans CJK SC"/>
        <family val="2"/>
      </rPr>
      <t>텍스트는 인간 대비 문장 길이가 균일</t>
    </r>
    <r>
      <rPr>
        <sz val="9"/>
        <color rgb="FF555555"/>
        <rFont val="맑은 고딕"/>
        <family val="3"/>
        <charset val="129"/>
      </rPr>
      <t>(</t>
    </r>
    <r>
      <rPr>
        <sz val="9"/>
        <color rgb="FF555555"/>
        <rFont val="Noto Sans CJK SC"/>
        <family val="2"/>
      </rPr>
      <t>낮은 버스티니스</t>
    </r>
    <r>
      <rPr>
        <sz val="9"/>
        <color rgb="FF555555"/>
        <rFont val="맑은 고딕"/>
        <family val="3"/>
        <charset val="129"/>
      </rPr>
      <t>)</t>
    </r>
    <r>
      <rPr>
        <sz val="9"/>
        <color rgb="FF555555"/>
        <rFont val="Noto Sans CJK SC"/>
        <family val="2"/>
      </rPr>
      <t>하고 어휘 반복률이 높다는 것이 공통 관찰</t>
    </r>
    <r>
      <rPr>
        <sz val="9"/>
        <color rgb="FF555555"/>
        <rFont val="맑은 고딕"/>
        <family val="3"/>
        <charset val="129"/>
      </rPr>
      <t xml:space="preserve">. </t>
    </r>
    <r>
      <rPr>
        <sz val="9"/>
        <color rgb="FF555555"/>
        <rFont val="Noto Sans CJK SC"/>
        <family val="2"/>
      </rPr>
      <t>단</t>
    </r>
    <r>
      <rPr>
        <sz val="9"/>
        <color rgb="FF555555"/>
        <rFont val="맑은 고딕"/>
        <family val="3"/>
        <charset val="129"/>
      </rPr>
      <t xml:space="preserve">, </t>
    </r>
    <r>
      <rPr>
        <sz val="9"/>
        <color rgb="FF555555"/>
        <rFont val="Noto Sans CJK SC"/>
        <family val="2"/>
      </rPr>
      <t>버스티니스</t>
    </r>
    <r>
      <rPr>
        <sz val="9"/>
        <color rgb="FF555555"/>
        <rFont val="맑은 고딕"/>
        <family val="3"/>
        <charset val="129"/>
      </rPr>
      <t>·</t>
    </r>
    <r>
      <rPr>
        <sz val="9"/>
        <color rgb="FF555555"/>
        <rFont val="Noto Sans CJK SC"/>
        <family val="2"/>
      </rPr>
      <t>퍼플렉시티는 단독 지표로는 오판율이 높다는 반론</t>
    </r>
    <r>
      <rPr>
        <sz val="9"/>
        <color rgb="FF555555"/>
        <rFont val="맑은 고딕"/>
        <family val="3"/>
        <charset val="129"/>
      </rPr>
      <t>(Pangram)</t>
    </r>
    <r>
      <rPr>
        <sz val="9"/>
        <color rgb="FF555555"/>
        <rFont val="Noto Sans CJK SC"/>
        <family val="2"/>
      </rPr>
      <t>도 함께 반영해 보조 지표로만 사용</t>
    </r>
    <r>
      <rPr>
        <sz val="9"/>
        <color rgb="FF555555"/>
        <rFont val="맑은 고딕"/>
        <family val="3"/>
        <charset val="129"/>
      </rPr>
      <t>.</t>
    </r>
  </si>
  <si>
    <r>
      <rPr>
        <sz val="9"/>
        <color rgb="FF555555"/>
        <rFont val="맑은 고딕"/>
        <family val="3"/>
        <charset val="129"/>
      </rPr>
      <t xml:space="preserve">· </t>
    </r>
    <r>
      <rPr>
        <sz val="9"/>
        <color rgb="FF555555"/>
        <rFont val="Noto Sans CJK SC"/>
        <family val="2"/>
      </rPr>
      <t>주의</t>
    </r>
    <r>
      <rPr>
        <sz val="9"/>
        <color rgb="FF555555"/>
        <rFont val="맑은 고딕"/>
        <family val="3"/>
        <charset val="129"/>
      </rPr>
      <t xml:space="preserve">: </t>
    </r>
    <r>
      <rPr>
        <sz val="9"/>
        <color rgb="FF555555"/>
        <rFont val="Noto Sans CJK SC"/>
        <family val="2"/>
      </rPr>
      <t>적시성</t>
    </r>
    <r>
      <rPr>
        <sz val="9"/>
        <color rgb="FF555555"/>
        <rFont val="맑은 고딕"/>
        <family val="3"/>
        <charset val="129"/>
      </rPr>
      <t>·</t>
    </r>
    <r>
      <rPr>
        <sz val="9"/>
        <color rgb="FF555555"/>
        <rFont val="Noto Sans CJK SC"/>
        <family val="2"/>
      </rPr>
      <t>비교가능성</t>
    </r>
    <r>
      <rPr>
        <sz val="9"/>
        <color rgb="FF555555"/>
        <rFont val="맑은 고딕"/>
        <family val="3"/>
        <charset val="129"/>
      </rPr>
      <t>·</t>
    </r>
    <r>
      <rPr>
        <sz val="9"/>
        <color rgb="FF555555"/>
        <rFont val="Noto Sans CJK SC"/>
        <family val="2"/>
      </rPr>
      <t>지속가능성 맥락은 단일 문단 단위로는 판정할 수 없어 평가에서 제외했습니다</t>
    </r>
    <r>
      <rPr>
        <sz val="9"/>
        <color rgb="FF555555"/>
        <rFont val="맑은 고딕"/>
        <family val="3"/>
        <charset val="129"/>
      </rPr>
      <t>.</t>
    </r>
  </si>
  <si>
    <t>종합 비교 스코어카드 — V2 vs V3</t>
  </si>
  <si>
    <t>점수 5점 척도. 점수는 04_항목별비교의 실측값에서 도출했으며, 근거가 되는 실측 수치를 같은 행에 병기했습니다.</t>
  </si>
  <si>
    <r>
      <rPr>
        <b/>
        <sz val="10"/>
        <color rgb="FFFFFFFF"/>
        <rFont val="맑은 고딕"/>
        <family val="3"/>
        <charset val="129"/>
      </rPr>
      <t xml:space="preserve">V2 </t>
    </r>
    <r>
      <rPr>
        <b/>
        <sz val="10"/>
        <color rgb="FFFFFFFF"/>
        <rFont val="Noto Sans CJK SC"/>
        <family val="2"/>
      </rPr>
      <t>점수</t>
    </r>
  </si>
  <si>
    <r>
      <rPr>
        <b/>
        <sz val="10"/>
        <color rgb="FFFFFFFF"/>
        <rFont val="맑은 고딕"/>
        <family val="3"/>
        <charset val="129"/>
      </rPr>
      <t xml:space="preserve">V3 </t>
    </r>
    <r>
      <rPr>
        <b/>
        <sz val="10"/>
        <color rgb="FFFFFFFF"/>
        <rFont val="Noto Sans CJK SC"/>
        <family val="2"/>
      </rPr>
      <t>점수</t>
    </r>
  </si>
  <si>
    <t>실측 근거 (V2 → V3)</t>
  </si>
  <si>
    <t>판정 사유</t>
  </si>
  <si>
    <t>신뢰도</t>
  </si>
  <si>
    <t>작성률 86.3%(82/95) → 73.7%(70/95)</t>
  </si>
  <si>
    <r>
      <rPr>
        <sz val="10"/>
        <rFont val="맑은 고딕"/>
        <family val="3"/>
        <charset val="129"/>
      </rPr>
      <t xml:space="preserve">V3 </t>
    </r>
    <r>
      <rPr>
        <sz val="10"/>
        <rFont val="Noto Sans CJK SC"/>
        <family val="2"/>
      </rPr>
      <t xml:space="preserve">미작성 </t>
    </r>
    <r>
      <rPr>
        <sz val="10"/>
        <rFont val="맑은 고딕"/>
        <family val="3"/>
        <charset val="129"/>
      </rPr>
      <t>25</t>
    </r>
    <r>
      <rPr>
        <sz val="10"/>
        <rFont val="Noto Sans CJK SC"/>
        <family val="2"/>
      </rPr>
      <t xml:space="preserve">건은 전부 </t>
    </r>
    <r>
      <rPr>
        <sz val="10"/>
        <rFont val="맑은 고딕"/>
        <family val="3"/>
        <charset val="129"/>
      </rPr>
      <t xml:space="preserve">QA </t>
    </r>
    <r>
      <rPr>
        <sz val="10"/>
        <rFont val="Noto Sans CJK SC"/>
        <family val="2"/>
      </rPr>
      <t>차단</t>
    </r>
    <r>
      <rPr>
        <sz val="10"/>
        <rFont val="맑은 고딕"/>
        <family val="3"/>
        <charset val="129"/>
      </rPr>
      <t>(blocked)</t>
    </r>
    <r>
      <rPr>
        <sz val="10"/>
        <rFont val="Noto Sans CJK SC"/>
        <family val="2"/>
      </rPr>
      <t>에 의한 의도적 공란</t>
    </r>
    <r>
      <rPr>
        <sz val="10"/>
        <rFont val="맑은 고딕"/>
        <family val="3"/>
        <charset val="129"/>
      </rPr>
      <t xml:space="preserve">. </t>
    </r>
    <r>
      <rPr>
        <sz val="10"/>
        <rFont val="Noto Sans CJK SC"/>
        <family val="2"/>
      </rPr>
      <t>품질관리는 건전하나 산출물 관점에서는 빈칸</t>
    </r>
    <r>
      <rPr>
        <sz val="10"/>
        <rFont val="맑은 고딕"/>
        <family val="3"/>
        <charset val="129"/>
      </rPr>
      <t>.</t>
    </r>
  </si>
  <si>
    <t>높음</t>
  </si>
  <si>
    <t>항목 키워드 충족률 0.856 → 0.612 (V2 우세 43/65)</t>
  </si>
  <si>
    <r>
      <rPr>
        <sz val="10"/>
        <rFont val="맑은 고딕"/>
        <family val="3"/>
        <charset val="129"/>
      </rPr>
      <t>3</t>
    </r>
    <r>
      <rPr>
        <sz val="10"/>
        <rFont val="Noto Sans CJK SC"/>
        <family val="2"/>
      </rPr>
      <t xml:space="preserve">문장 이상으로 길이 통제해도 </t>
    </r>
    <r>
      <rPr>
        <sz val="10"/>
        <rFont val="맑은 고딕"/>
        <family val="3"/>
        <charset val="129"/>
      </rPr>
      <t>0.863 → 0.723</t>
    </r>
    <r>
      <rPr>
        <sz val="10"/>
        <rFont val="Noto Sans CJK SC"/>
        <family val="2"/>
      </rPr>
      <t>으로 격차 유지</t>
    </r>
    <r>
      <rPr>
        <sz val="10"/>
        <rFont val="맑은 고딕"/>
        <family val="3"/>
        <charset val="129"/>
      </rPr>
      <t>. V3</t>
    </r>
    <r>
      <rPr>
        <sz val="10"/>
        <rFont val="Noto Sans CJK SC"/>
        <family val="2"/>
      </rPr>
      <t>는 항목이 요구한 내용을 빠뜨리는 경우가 있음</t>
    </r>
    <r>
      <rPr>
        <sz val="10"/>
        <rFont val="맑은 고딕"/>
        <family val="3"/>
        <charset val="129"/>
      </rPr>
      <t>(</t>
    </r>
    <r>
      <rPr>
        <sz val="10"/>
        <rFont val="Noto Sans CJK SC"/>
        <family val="2"/>
      </rPr>
      <t>예</t>
    </r>
    <r>
      <rPr>
        <sz val="10"/>
        <rFont val="맑은 고딕"/>
        <family val="3"/>
        <charset val="129"/>
      </rPr>
      <t xml:space="preserve">: Q-063 </t>
    </r>
    <r>
      <rPr>
        <sz val="10"/>
        <rFont val="Noto Sans CJK SC"/>
        <family val="2"/>
      </rPr>
      <t>다양성 현황에서 인원 수치 전면 누락</t>
    </r>
    <r>
      <rPr>
        <sz val="10"/>
        <rFont val="맑은 고딕"/>
        <family val="3"/>
        <charset val="129"/>
      </rPr>
      <t>).</t>
    </r>
  </si>
  <si>
    <t>근거일치율 0.408 → 0.629 (V3 우세 59/65)</t>
  </si>
  <si>
    <r>
      <rPr>
        <sz val="10"/>
        <rFont val="맑은 고딕"/>
        <family val="3"/>
        <charset val="129"/>
      </rPr>
      <t>V2</t>
    </r>
    <r>
      <rPr>
        <sz val="10"/>
        <rFont val="Noto Sans CJK SC"/>
        <family val="2"/>
      </rPr>
      <t xml:space="preserve">는 </t>
    </r>
    <r>
      <rPr>
        <sz val="10"/>
        <rFont val="맑은 고딕"/>
        <family val="3"/>
        <charset val="129"/>
      </rPr>
      <t>Evidence</t>
    </r>
    <r>
      <rPr>
        <sz val="10"/>
        <rFont val="Noto Sans CJK SC"/>
        <family val="2"/>
      </rPr>
      <t>에 없는 서술을 다수 추가</t>
    </r>
    <r>
      <rPr>
        <sz val="10"/>
        <rFont val="맑은 고딕"/>
        <family val="3"/>
        <charset val="129"/>
      </rPr>
      <t xml:space="preserve">. V2 </t>
    </r>
    <r>
      <rPr>
        <sz val="10"/>
        <rFont val="Noto Sans CJK SC"/>
        <family val="2"/>
      </rPr>
      <t xml:space="preserve">자체 검토열도 </t>
    </r>
    <r>
      <rPr>
        <sz val="10"/>
        <rFont val="맑은 고딕"/>
        <family val="3"/>
        <charset val="129"/>
      </rPr>
      <t xml:space="preserve">Evidence </t>
    </r>
    <r>
      <rPr>
        <sz val="10"/>
        <rFont val="Noto Sans CJK SC"/>
        <family val="2"/>
      </rPr>
      <t>부족</t>
    </r>
    <r>
      <rPr>
        <sz val="10"/>
        <rFont val="맑은 고딕"/>
        <family val="3"/>
        <charset val="129"/>
      </rPr>
      <t>(Thiếu)</t>
    </r>
    <r>
      <rPr>
        <sz val="10"/>
        <rFont val="Noto Sans CJK SC"/>
        <family val="2"/>
      </rPr>
      <t xml:space="preserve">을 </t>
    </r>
    <r>
      <rPr>
        <sz val="10"/>
        <rFont val="맑은 고딕"/>
        <family val="3"/>
        <charset val="129"/>
      </rPr>
      <t>64</t>
    </r>
    <r>
      <rPr>
        <sz val="10"/>
        <rFont val="Noto Sans CJK SC"/>
        <family val="2"/>
      </rPr>
      <t>건 지적</t>
    </r>
    <r>
      <rPr>
        <sz val="10"/>
        <rFont val="맑은 고딕"/>
        <family val="3"/>
        <charset val="129"/>
      </rPr>
      <t xml:space="preserve">. </t>
    </r>
    <r>
      <rPr>
        <sz val="10"/>
        <rFont val="Noto Sans CJK SC"/>
        <family val="2"/>
      </rPr>
      <t>길이 통제</t>
    </r>
    <r>
      <rPr>
        <sz val="10"/>
        <rFont val="맑은 고딕"/>
        <family val="3"/>
        <charset val="129"/>
      </rPr>
      <t xml:space="preserve">(V2 </t>
    </r>
    <r>
      <rPr>
        <sz val="10"/>
        <rFont val="Noto Sans CJK SC"/>
        <family val="2"/>
      </rPr>
      <t xml:space="preserve">앞 </t>
    </r>
    <r>
      <rPr>
        <sz val="10"/>
        <rFont val="맑은 고딕"/>
        <family val="3"/>
        <charset val="129"/>
      </rPr>
      <t>2</t>
    </r>
    <r>
      <rPr>
        <sz val="10"/>
        <rFont val="Noto Sans CJK SC"/>
        <family val="2"/>
      </rPr>
      <t xml:space="preserve">문장 </t>
    </r>
    <r>
      <rPr>
        <sz val="10"/>
        <rFont val="맑은 고딕"/>
        <family val="3"/>
        <charset val="129"/>
      </rPr>
      <t xml:space="preserve">0.477 vs V3 </t>
    </r>
    <r>
      <rPr>
        <sz val="10"/>
        <rFont val="Noto Sans CJK SC"/>
        <family val="2"/>
      </rPr>
      <t xml:space="preserve">전체 </t>
    </r>
    <r>
      <rPr>
        <sz val="10"/>
        <rFont val="맑은 고딕"/>
        <family val="3"/>
        <charset val="129"/>
      </rPr>
      <t>0.629)</t>
    </r>
    <r>
      <rPr>
        <sz val="10"/>
        <rFont val="Noto Sans CJK SC"/>
        <family val="2"/>
      </rPr>
      <t xml:space="preserve">해도 </t>
    </r>
    <r>
      <rPr>
        <sz val="10"/>
        <rFont val="맑은 고딕"/>
        <family val="3"/>
        <charset val="129"/>
      </rPr>
      <t xml:space="preserve">V3 </t>
    </r>
    <r>
      <rPr>
        <sz val="10"/>
        <rFont val="Noto Sans CJK SC"/>
        <family val="2"/>
      </rPr>
      <t>우세 유지</t>
    </r>
    <r>
      <rPr>
        <sz val="10"/>
        <rFont val="맑은 고딕"/>
        <family val="3"/>
        <charset val="129"/>
      </rPr>
      <t>.</t>
    </r>
  </si>
  <si>
    <t>리스크·과제 언급 답변 비율 59.8% → 37.1%</t>
  </si>
  <si>
    <r>
      <rPr>
        <sz val="10"/>
        <rFont val="맑은 고딕"/>
        <family val="3"/>
        <charset val="129"/>
      </rPr>
      <t>V2</t>
    </r>
    <r>
      <rPr>
        <sz val="10"/>
        <rFont val="Noto Sans CJK SC"/>
        <family val="2"/>
      </rPr>
      <t>가 부정</t>
    </r>
    <r>
      <rPr>
        <sz val="10"/>
        <rFont val="맑은 고딕"/>
        <family val="3"/>
        <charset val="129"/>
      </rPr>
      <t>·</t>
    </r>
    <r>
      <rPr>
        <sz val="10"/>
        <rFont val="Noto Sans CJK SC"/>
        <family val="2"/>
      </rPr>
      <t>과제 서술을 더 자주 포함</t>
    </r>
    <r>
      <rPr>
        <sz val="10"/>
        <rFont val="맑은 고딕"/>
        <family val="3"/>
        <charset val="129"/>
      </rPr>
      <t xml:space="preserve">. </t>
    </r>
    <r>
      <rPr>
        <sz val="10"/>
        <rFont val="Noto Sans CJK SC"/>
        <family val="2"/>
      </rPr>
      <t xml:space="preserve">다만 </t>
    </r>
    <r>
      <rPr>
        <sz val="10"/>
        <rFont val="맑은 고딕"/>
        <family val="3"/>
        <charset val="129"/>
      </rPr>
      <t xml:space="preserve">V2 </t>
    </r>
    <r>
      <rPr>
        <sz val="10"/>
        <rFont val="Noto Sans CJK SC"/>
        <family val="2"/>
      </rPr>
      <t xml:space="preserve">본문이 </t>
    </r>
    <r>
      <rPr>
        <sz val="10"/>
        <rFont val="맑은 고딕"/>
        <family val="3"/>
        <charset val="129"/>
      </rPr>
      <t>2.6</t>
    </r>
    <r>
      <rPr>
        <sz val="10"/>
        <rFont val="Noto Sans CJK SC"/>
        <family val="2"/>
      </rPr>
      <t xml:space="preserve">배 길어 발생 확률이 높은 점을 감안해 격차를 </t>
    </r>
    <r>
      <rPr>
        <sz val="10"/>
        <rFont val="맑은 고딕"/>
        <family val="3"/>
        <charset val="129"/>
      </rPr>
      <t>1</t>
    </r>
    <r>
      <rPr>
        <sz val="10"/>
        <rFont val="Noto Sans CJK SC"/>
        <family val="2"/>
      </rPr>
      <t>점으로만 반영</t>
    </r>
    <r>
      <rPr>
        <sz val="10"/>
        <rFont val="맑은 고딕"/>
        <family val="3"/>
        <charset val="129"/>
      </rPr>
      <t>.</t>
    </r>
  </si>
  <si>
    <t>중간</t>
  </si>
  <si>
    <r>
      <rPr>
        <sz val="10"/>
        <rFont val="맑은 고딕"/>
        <family val="3"/>
        <charset val="129"/>
      </rPr>
      <t>1</t>
    </r>
    <r>
      <rPr>
        <sz val="10"/>
        <rFont val="Noto Sans CJK SC"/>
        <family val="2"/>
      </rPr>
      <t xml:space="preserve">천자당 숫자 </t>
    </r>
    <r>
      <rPr>
        <sz val="10"/>
        <rFont val="맑은 고딕"/>
        <family val="3"/>
        <charset val="129"/>
      </rPr>
      <t>23.3</t>
    </r>
    <r>
      <rPr>
        <sz val="10"/>
        <rFont val="Noto Sans CJK SC"/>
        <family val="2"/>
      </rPr>
      <t xml:space="preserve">개 → </t>
    </r>
    <r>
      <rPr>
        <sz val="10"/>
        <rFont val="맑은 고딕"/>
        <family val="3"/>
        <charset val="129"/>
      </rPr>
      <t>12.8</t>
    </r>
    <r>
      <rPr>
        <sz val="10"/>
        <rFont val="Noto Sans CJK SC"/>
        <family val="2"/>
      </rPr>
      <t>개</t>
    </r>
    <r>
      <rPr>
        <sz val="10"/>
        <rFont val="맑은 고딕"/>
        <family val="3"/>
        <charset val="129"/>
      </rPr>
      <t xml:space="preserve">, </t>
    </r>
    <r>
      <rPr>
        <sz val="10"/>
        <rFont val="Noto Sans CJK SC"/>
        <family val="2"/>
      </rPr>
      <t xml:space="preserve">연도 언급률 </t>
    </r>
    <r>
      <rPr>
        <sz val="10"/>
        <rFont val="맑은 고딕"/>
        <family val="3"/>
        <charset val="129"/>
      </rPr>
      <t>39.0% → 18.6%</t>
    </r>
  </si>
  <si>
    <t>길이로 정규화해도 V2가 약 1.8배. V3는 요약 과정에서 수치를 탈락시키는 경향.</t>
  </si>
  <si>
    <t>평균 문장 93.0자 → 94.1자, 120자 초과 장문 비율 15.6% → 18.0%</t>
  </si>
  <si>
    <t>실질적 동률. 양쪽 모두 한 문장이 다소 길어 국문 보고서 권장선(60~80자)을 상회.</t>
  </si>
  <si>
    <t>출처 헤지구 삽입 0건 → 24건(작성분의 34.3%), 문장 파손 0건 → 5건</t>
  </si>
  <si>
    <r>
      <rPr>
        <sz val="10"/>
        <rFont val="맑은 고딕"/>
        <family val="3"/>
        <charset val="129"/>
      </rPr>
      <t>V3</t>
    </r>
    <r>
      <rPr>
        <sz val="10"/>
        <rFont val="Noto Sans CJK SC"/>
        <family val="2"/>
      </rPr>
      <t xml:space="preserve">의 </t>
    </r>
    <r>
      <rPr>
        <sz val="10"/>
        <rFont val="맑은 고딕"/>
        <family val="3"/>
        <charset val="129"/>
      </rPr>
      <t>"</t>
    </r>
    <r>
      <rPr>
        <sz val="10"/>
        <rFont val="Noto Sans CJK SC"/>
        <family val="2"/>
      </rPr>
      <t>검토 중인 제안 자료상</t>
    </r>
    <r>
      <rPr>
        <sz val="10"/>
        <rFont val="맑은 고딕"/>
        <family val="3"/>
        <charset val="129"/>
      </rPr>
      <t>", "</t>
    </r>
    <r>
      <rPr>
        <sz val="10"/>
        <rFont val="Noto Sans CJK SC"/>
        <family val="2"/>
      </rPr>
      <t>외부 평가 자료상</t>
    </r>
    <r>
      <rPr>
        <sz val="10"/>
        <rFont val="맑은 고딕"/>
        <family val="3"/>
        <charset val="129"/>
      </rPr>
      <t>"</t>
    </r>
    <r>
      <rPr>
        <sz val="10"/>
        <rFont val="Noto Sans CJK SC"/>
        <family val="2"/>
      </rPr>
      <t>은 사람이 쓴 보고서에 등장하지 않는 파이프라인 잔여물</t>
    </r>
    <r>
      <rPr>
        <sz val="10"/>
        <rFont val="맑은 고딕"/>
        <family val="3"/>
        <charset val="129"/>
      </rPr>
      <t>. "</t>
    </r>
    <r>
      <rPr>
        <sz val="10"/>
        <rFont val="Noto Sans CJK SC"/>
        <family val="2"/>
      </rPr>
      <t>외부 평가 자료상 또한</t>
    </r>
    <r>
      <rPr>
        <sz val="10"/>
        <rFont val="맑은 고딕"/>
        <family val="3"/>
        <charset val="129"/>
      </rPr>
      <t xml:space="preserve">," </t>
    </r>
    <r>
      <rPr>
        <sz val="10"/>
        <rFont val="Noto Sans CJK SC"/>
        <family val="2"/>
      </rPr>
      <t xml:space="preserve">처럼 접속을 끊고 들어가 비문을 만드는 사례 </t>
    </r>
    <r>
      <rPr>
        <sz val="10"/>
        <rFont val="맑은 고딕"/>
        <family val="3"/>
        <charset val="129"/>
      </rPr>
      <t>5</t>
    </r>
    <r>
      <rPr>
        <sz val="10"/>
        <rFont val="Noto Sans CJK SC"/>
        <family val="2"/>
      </rPr>
      <t>건</t>
    </r>
    <r>
      <rPr>
        <sz val="10"/>
        <rFont val="맑은 고딕"/>
        <family val="3"/>
        <charset val="129"/>
      </rPr>
      <t>.</t>
    </r>
  </si>
  <si>
    <t>문장길이 CV 0.242 → 0.249 (3문장 이상 28건 기준)</t>
  </si>
  <si>
    <t>전체 평균으로는 V2가 높아 보이나(0.230 vs 0.185) 이는 V3 답변이 평균 2.3문장으로 짧은 데서 온 착시. 길이를 맞추면 동률이며 오히려 V3가 근소 우위.</t>
  </si>
  <si>
    <r>
      <rPr>
        <sz val="10"/>
        <rFont val="맑은 고딕"/>
        <family val="3"/>
        <charset val="129"/>
      </rPr>
      <t>1</t>
    </r>
    <r>
      <rPr>
        <sz val="10"/>
        <rFont val="Noto Sans CJK SC"/>
        <family val="2"/>
      </rPr>
      <t xml:space="preserve">천자당 상투어 </t>
    </r>
    <r>
      <rPr>
        <sz val="10"/>
        <rFont val="맑은 고딕"/>
        <family val="3"/>
        <charset val="129"/>
      </rPr>
      <t>5.79</t>
    </r>
    <r>
      <rPr>
        <sz val="10"/>
        <rFont val="Noto Sans CJK SC"/>
        <family val="2"/>
      </rPr>
      <t xml:space="preserve">개 → </t>
    </r>
    <r>
      <rPr>
        <sz val="10"/>
        <rFont val="맑은 고딕"/>
        <family val="3"/>
        <charset val="129"/>
      </rPr>
      <t>3.78</t>
    </r>
    <r>
      <rPr>
        <sz val="10"/>
        <rFont val="Noto Sans CJK SC"/>
        <family val="2"/>
      </rPr>
      <t xml:space="preserve">개 </t>
    </r>
    <r>
      <rPr>
        <sz val="10"/>
        <rFont val="맑은 고딕"/>
        <family val="3"/>
        <charset val="129"/>
      </rPr>
      <t>(</t>
    </r>
    <r>
      <rPr>
        <sz val="10"/>
        <rFont val="Noto Sans CJK SC"/>
        <family val="2"/>
      </rPr>
      <t>낮을수록 우수</t>
    </r>
    <r>
      <rPr>
        <sz val="10"/>
        <rFont val="맑은 고딕"/>
        <family val="3"/>
        <charset val="129"/>
      </rPr>
      <t>)</t>
    </r>
  </si>
  <si>
    <r>
      <rPr>
        <sz val="10"/>
        <rFont val="맑은 고딕"/>
        <family val="3"/>
        <charset val="129"/>
      </rPr>
      <t>V3</t>
    </r>
    <r>
      <rPr>
        <sz val="10"/>
        <rFont val="Noto Sans CJK SC"/>
        <family val="2"/>
      </rPr>
      <t>가 무내용 부사</t>
    </r>
    <r>
      <rPr>
        <sz val="10"/>
        <rFont val="맑은 고딕"/>
        <family val="3"/>
        <charset val="129"/>
      </rPr>
      <t>·</t>
    </r>
    <r>
      <rPr>
        <sz val="10"/>
        <rFont val="Noto Sans CJK SC"/>
        <family val="2"/>
      </rPr>
      <t>상투 술어를 덜 씀</t>
    </r>
    <r>
      <rPr>
        <sz val="10"/>
        <rFont val="맑은 고딕"/>
        <family val="3"/>
        <charset val="129"/>
      </rPr>
      <t>. 3</t>
    </r>
    <r>
      <rPr>
        <sz val="10"/>
        <rFont val="Noto Sans CJK SC"/>
        <family val="2"/>
      </rPr>
      <t xml:space="preserve">문장 이상 통제 시에도 </t>
    </r>
    <r>
      <rPr>
        <sz val="10"/>
        <rFont val="맑은 고딕"/>
        <family val="3"/>
        <charset val="129"/>
      </rPr>
      <t>5.33 → 3.65</t>
    </r>
    <r>
      <rPr>
        <sz val="10"/>
        <rFont val="Noto Sans CJK SC"/>
        <family val="2"/>
      </rPr>
      <t xml:space="preserve">로 </t>
    </r>
    <r>
      <rPr>
        <sz val="10"/>
        <rFont val="맑은 고딕"/>
        <family val="3"/>
        <charset val="129"/>
      </rPr>
      <t xml:space="preserve">V3 </t>
    </r>
    <r>
      <rPr>
        <sz val="10"/>
        <rFont val="Noto Sans CJK SC"/>
        <family val="2"/>
      </rPr>
      <t>우세 유지</t>
    </r>
    <r>
      <rPr>
        <sz val="10"/>
        <rFont val="맑은 고딕"/>
        <family val="3"/>
        <charset val="129"/>
      </rPr>
      <t>.</t>
    </r>
  </si>
  <si>
    <r>
      <rPr>
        <sz val="10"/>
        <rFont val="맑은 고딕"/>
        <family val="3"/>
        <charset val="129"/>
      </rPr>
      <t xml:space="preserve">MATTR 0.9386 → 0.9380 (V2 </t>
    </r>
    <r>
      <rPr>
        <sz val="10"/>
        <rFont val="Noto Sans CJK SC"/>
        <family val="2"/>
      </rPr>
      <t xml:space="preserve">앞 </t>
    </r>
    <r>
      <rPr>
        <sz val="10"/>
        <rFont val="맑은 고딕"/>
        <family val="3"/>
        <charset val="129"/>
      </rPr>
      <t>2</t>
    </r>
    <r>
      <rPr>
        <sz val="10"/>
        <rFont val="Noto Sans CJK SC"/>
        <family val="2"/>
      </rPr>
      <t xml:space="preserve">문장 </t>
    </r>
    <r>
      <rPr>
        <sz val="10"/>
        <rFont val="맑은 고딕"/>
        <family val="3"/>
        <charset val="129"/>
      </rPr>
      <t xml:space="preserve">vs V3 </t>
    </r>
    <r>
      <rPr>
        <sz val="10"/>
        <rFont val="Noto Sans CJK SC"/>
        <family val="2"/>
      </rPr>
      <t>전체</t>
    </r>
    <r>
      <rPr>
        <sz val="10"/>
        <rFont val="맑은 고딕"/>
        <family val="3"/>
        <charset val="129"/>
      </rPr>
      <t xml:space="preserve">, </t>
    </r>
    <r>
      <rPr>
        <sz val="10"/>
        <rFont val="Noto Sans CJK SC"/>
        <family val="2"/>
      </rPr>
      <t>길이 통제</t>
    </r>
    <r>
      <rPr>
        <sz val="10"/>
        <rFont val="맑은 고딕"/>
        <family val="3"/>
        <charset val="129"/>
      </rPr>
      <t>)</t>
    </r>
  </si>
  <si>
    <t>통계적으로 무의미한 차이. 길이 미통제 시에도 0.940 vs 0.938로 동률.</t>
  </si>
  <si>
    <t>가중 합계 (100점 환산)</t>
  </si>
  <si>
    <t>가중치A — 보고서 초안 품질 관점</t>
  </si>
  <si>
    <t>가중치B — 사람이 쓴 글 같은가 관점</t>
  </si>
  <si>
    <t>단순 평균 (가중 없음)</t>
  </si>
  <si>
    <t>항목 승패 (V2승 / V3승 / 동률)</t>
  </si>
  <si>
    <t>실측 지표 원본 — 04_항목별비교 시트를 집계한 값</t>
  </si>
  <si>
    <t>모든 수치는 04 시트를 참조하는 수식입니다. 04 시트 값이 바뀌면 여기도 함께 갱신됩니다.</t>
  </si>
  <si>
    <r>
      <rPr>
        <i/>
        <sz val="10"/>
        <color rgb="FF555555"/>
        <rFont val="맑은 고딕"/>
        <family val="3"/>
        <charset val="129"/>
      </rPr>
      <t>"</t>
    </r>
    <r>
      <rPr>
        <i/>
        <sz val="10"/>
        <color rgb="FF555555"/>
        <rFont val="Noto Sans CJK SC"/>
        <family val="2"/>
      </rPr>
      <t>양쪽 작성분</t>
    </r>
    <r>
      <rPr>
        <i/>
        <sz val="10"/>
        <color rgb="FF555555"/>
        <rFont val="맑은 고딕"/>
        <family val="3"/>
        <charset val="129"/>
      </rPr>
      <t>(65</t>
    </r>
    <r>
      <rPr>
        <i/>
        <sz val="10"/>
        <color rgb="FF555555"/>
        <rFont val="Noto Sans CJK SC"/>
        <family val="2"/>
      </rPr>
      <t>건</t>
    </r>
    <r>
      <rPr>
        <i/>
        <sz val="10"/>
        <color rgb="FF555555"/>
        <rFont val="맑은 고딕"/>
        <family val="3"/>
        <charset val="129"/>
      </rPr>
      <t xml:space="preserve">) </t>
    </r>
    <r>
      <rPr>
        <i/>
        <sz val="10"/>
        <color rgb="FF555555"/>
        <rFont val="Noto Sans CJK SC"/>
        <family val="2"/>
      </rPr>
      <t>기준</t>
    </r>
    <r>
      <rPr>
        <i/>
        <sz val="10"/>
        <color rgb="FF555555"/>
        <rFont val="맑은 고딕"/>
        <family val="3"/>
        <charset val="129"/>
      </rPr>
      <t xml:space="preserve">" = V2·V3 </t>
    </r>
    <r>
      <rPr>
        <i/>
        <sz val="10"/>
        <color rgb="FF555555"/>
        <rFont val="Noto Sans CJK SC"/>
        <family val="2"/>
      </rPr>
      <t>모두 본문이 있는 지표만 대상</t>
    </r>
    <r>
      <rPr>
        <i/>
        <sz val="10"/>
        <color rgb="FF555555"/>
        <rFont val="맑은 고딕"/>
        <family val="3"/>
        <charset val="129"/>
      </rPr>
      <t xml:space="preserve">. </t>
    </r>
    <r>
      <rPr>
        <i/>
        <sz val="10"/>
        <color rgb="FF555555"/>
        <rFont val="Noto Sans CJK SC"/>
        <family val="2"/>
      </rPr>
      <t>한쪽만 작성된 건은 문체 비교에서 제외해야 공정합니다</t>
    </r>
    <r>
      <rPr>
        <i/>
        <sz val="10"/>
        <color rgb="FF555555"/>
        <rFont val="맑은 고딕"/>
        <family val="3"/>
        <charset val="129"/>
      </rPr>
      <t>.</t>
    </r>
  </si>
  <si>
    <t>구분</t>
  </si>
  <si>
    <t>지표</t>
  </si>
  <si>
    <t>해석 / 주의</t>
  </si>
  <si>
    <t>규모</t>
  </si>
  <si>
    <t>작성 건수 (전체 95개 중)</t>
  </si>
  <si>
    <r>
      <rPr>
        <sz val="10"/>
        <rFont val="맑은 고딕"/>
        <family val="3"/>
        <charset val="129"/>
      </rPr>
      <t>V2 82</t>
    </r>
    <r>
      <rPr>
        <sz val="10"/>
        <rFont val="Noto Sans CJK SC"/>
        <family val="2"/>
      </rPr>
      <t xml:space="preserve">건 </t>
    </r>
    <r>
      <rPr>
        <sz val="10"/>
        <rFont val="맑은 고딕"/>
        <family val="3"/>
        <charset val="129"/>
      </rPr>
      <t>/ V3 70</t>
    </r>
    <r>
      <rPr>
        <sz val="10"/>
        <rFont val="Noto Sans CJK SC"/>
        <family val="2"/>
      </rPr>
      <t>건</t>
    </r>
    <r>
      <rPr>
        <sz val="10"/>
        <rFont val="맑은 고딕"/>
        <family val="3"/>
        <charset val="129"/>
      </rPr>
      <t xml:space="preserve">. </t>
    </r>
    <r>
      <rPr>
        <sz val="10"/>
        <rFont val="Noto Sans CJK SC"/>
        <family val="2"/>
      </rPr>
      <t xml:space="preserve">양쪽 모두 작성 </t>
    </r>
    <r>
      <rPr>
        <sz val="10"/>
        <rFont val="맑은 고딕"/>
        <family val="3"/>
        <charset val="129"/>
      </rPr>
      <t>65</t>
    </r>
    <r>
      <rPr>
        <sz val="10"/>
        <rFont val="Noto Sans CJK SC"/>
        <family val="2"/>
      </rPr>
      <t>건</t>
    </r>
    <r>
      <rPr>
        <sz val="10"/>
        <rFont val="맑은 고딕"/>
        <family val="3"/>
        <charset val="129"/>
      </rPr>
      <t>, V2</t>
    </r>
    <r>
      <rPr>
        <sz val="10"/>
        <rFont val="Noto Sans CJK SC"/>
        <family val="2"/>
      </rPr>
      <t xml:space="preserve">만 </t>
    </r>
    <r>
      <rPr>
        <sz val="10"/>
        <rFont val="맑은 고딕"/>
        <family val="3"/>
        <charset val="129"/>
      </rPr>
      <t>17</t>
    </r>
    <r>
      <rPr>
        <sz val="10"/>
        <rFont val="Noto Sans CJK SC"/>
        <family val="2"/>
      </rPr>
      <t>건</t>
    </r>
    <r>
      <rPr>
        <sz val="10"/>
        <rFont val="맑은 고딕"/>
        <family val="3"/>
        <charset val="129"/>
      </rPr>
      <t>, V3</t>
    </r>
    <r>
      <rPr>
        <sz val="10"/>
        <rFont val="Noto Sans CJK SC"/>
        <family val="2"/>
      </rPr>
      <t xml:space="preserve">만 </t>
    </r>
    <r>
      <rPr>
        <sz val="10"/>
        <rFont val="맑은 고딕"/>
        <family val="3"/>
        <charset val="129"/>
      </rPr>
      <t>5</t>
    </r>
    <r>
      <rPr>
        <sz val="10"/>
        <rFont val="Noto Sans CJK SC"/>
        <family val="2"/>
      </rPr>
      <t>건</t>
    </r>
    <r>
      <rPr>
        <sz val="10"/>
        <rFont val="맑은 고딕"/>
        <family val="3"/>
        <charset val="129"/>
      </rPr>
      <t xml:space="preserve">, </t>
    </r>
    <r>
      <rPr>
        <sz val="10"/>
        <rFont val="Noto Sans CJK SC"/>
        <family val="2"/>
      </rPr>
      <t xml:space="preserve">둘 다 공란 </t>
    </r>
    <r>
      <rPr>
        <sz val="10"/>
        <rFont val="맑은 고딕"/>
        <family val="3"/>
        <charset val="129"/>
      </rPr>
      <t>8</t>
    </r>
    <r>
      <rPr>
        <sz val="10"/>
        <rFont val="Noto Sans CJK SC"/>
        <family val="2"/>
      </rPr>
      <t>건</t>
    </r>
    <r>
      <rPr>
        <sz val="10"/>
        <rFont val="맑은 고딕"/>
        <family val="3"/>
        <charset val="129"/>
      </rPr>
      <t>.</t>
    </r>
  </si>
  <si>
    <t>평균 글자수 (양쪽 작성분)</t>
  </si>
  <si>
    <t>참고</t>
  </si>
  <si>
    <r>
      <rPr>
        <sz val="10"/>
        <rFont val="맑은 고딕"/>
        <family val="3"/>
        <charset val="129"/>
      </rPr>
      <t>V2</t>
    </r>
    <r>
      <rPr>
        <sz val="10"/>
        <rFont val="Noto Sans CJK SC"/>
        <family val="2"/>
      </rPr>
      <t xml:space="preserve">가 </t>
    </r>
    <r>
      <rPr>
        <sz val="10"/>
        <rFont val="맑은 고딕"/>
        <family val="3"/>
        <charset val="129"/>
      </rPr>
      <t>2.6</t>
    </r>
    <r>
      <rPr>
        <sz val="10"/>
        <rFont val="Noto Sans CJK SC"/>
        <family val="2"/>
      </rPr>
      <t>배 길다</t>
    </r>
    <r>
      <rPr>
        <sz val="10"/>
        <rFont val="맑은 고딕"/>
        <family val="3"/>
        <charset val="129"/>
      </rPr>
      <t xml:space="preserve">. </t>
    </r>
    <r>
      <rPr>
        <sz val="10"/>
        <rFont val="Noto Sans CJK SC"/>
        <family val="2"/>
      </rPr>
      <t>이 길이 차이가 아래 여러 지표를 오염시키므로 길이 통제 결과를 반드시 함께 볼 것</t>
    </r>
    <r>
      <rPr>
        <sz val="10"/>
        <rFont val="맑은 고딕"/>
        <family val="3"/>
        <charset val="129"/>
      </rPr>
      <t>.</t>
    </r>
  </si>
  <si>
    <t>평균 문장수 (양쪽 작성분)</t>
  </si>
  <si>
    <r>
      <rPr>
        <sz val="10"/>
        <rFont val="맑은 고딕"/>
        <family val="3"/>
        <charset val="129"/>
      </rPr>
      <t>V2 5.9</t>
    </r>
    <r>
      <rPr>
        <sz val="10"/>
        <rFont val="Noto Sans CJK SC"/>
        <family val="2"/>
      </rPr>
      <t xml:space="preserve">문장 </t>
    </r>
    <r>
      <rPr>
        <sz val="10"/>
        <rFont val="맑은 고딕"/>
        <family val="3"/>
        <charset val="129"/>
      </rPr>
      <t>/ V3 2.3</t>
    </r>
    <r>
      <rPr>
        <sz val="10"/>
        <rFont val="Noto Sans CJK SC"/>
        <family val="2"/>
      </rPr>
      <t>문장</t>
    </r>
    <r>
      <rPr>
        <sz val="10"/>
        <rFont val="맑은 고딕"/>
        <family val="3"/>
        <charset val="129"/>
      </rPr>
      <t>. V3</t>
    </r>
    <r>
      <rPr>
        <sz val="10"/>
        <rFont val="Noto Sans CJK SC"/>
        <family val="2"/>
      </rPr>
      <t>는 사실상 요약문 수준의 분량</t>
    </r>
    <r>
      <rPr>
        <sz val="10"/>
        <rFont val="맑은 고딕"/>
        <family val="3"/>
        <charset val="129"/>
      </rPr>
      <t>.</t>
    </r>
  </si>
  <si>
    <t>명확성</t>
  </si>
  <si>
    <t>평균 문장 길이(자)</t>
  </si>
  <si>
    <r>
      <rPr>
        <sz val="10"/>
        <rFont val="맑은 고딕"/>
        <family val="3"/>
        <charset val="129"/>
      </rPr>
      <t>93.0</t>
    </r>
    <r>
      <rPr>
        <sz val="10"/>
        <rFont val="Noto Sans CJK SC"/>
        <family val="2"/>
      </rPr>
      <t xml:space="preserve">자 </t>
    </r>
    <r>
      <rPr>
        <sz val="10"/>
        <rFont val="맑은 고딕"/>
        <family val="3"/>
        <charset val="129"/>
      </rPr>
      <t>vs 94.1</t>
    </r>
    <r>
      <rPr>
        <sz val="10"/>
        <rFont val="Noto Sans CJK SC"/>
        <family val="2"/>
      </rPr>
      <t>자 — 사실상 동률</t>
    </r>
    <r>
      <rPr>
        <sz val="10"/>
        <rFont val="맑은 고딕"/>
        <family val="3"/>
        <charset val="129"/>
      </rPr>
      <t xml:space="preserve">. </t>
    </r>
    <r>
      <rPr>
        <sz val="10"/>
        <rFont val="Noto Sans CJK SC"/>
        <family val="2"/>
      </rPr>
      <t xml:space="preserve">양쪽 다 국문 보고서 권장 </t>
    </r>
    <r>
      <rPr>
        <sz val="10"/>
        <rFont val="맑은 고딕"/>
        <family val="3"/>
        <charset val="129"/>
      </rPr>
      <t>60~80</t>
    </r>
    <r>
      <rPr>
        <sz val="10"/>
        <rFont val="Noto Sans CJK SC"/>
        <family val="2"/>
      </rPr>
      <t>자를 넘김</t>
    </r>
    <r>
      <rPr>
        <sz val="10"/>
        <rFont val="맑은 고딕"/>
        <family val="3"/>
        <charset val="129"/>
      </rPr>
      <t>(</t>
    </r>
    <r>
      <rPr>
        <sz val="10"/>
        <rFont val="Noto Sans CJK SC"/>
        <family val="2"/>
      </rPr>
      <t>공통 개선 지점</t>
    </r>
    <r>
      <rPr>
        <sz val="10"/>
        <rFont val="맑은 고딕"/>
        <family val="3"/>
        <charset val="129"/>
      </rPr>
      <t>).</t>
    </r>
  </si>
  <si>
    <r>
      <rPr>
        <sz val="10"/>
        <rFont val="맑은 고딕"/>
        <family val="3"/>
        <charset val="129"/>
      </rPr>
      <t>120</t>
    </r>
    <r>
      <rPr>
        <sz val="10"/>
        <rFont val="Noto Sans CJK SC"/>
        <family val="2"/>
      </rPr>
      <t>자 초과 장문 비율</t>
    </r>
  </si>
  <si>
    <r>
      <rPr>
        <sz val="10"/>
        <rFont val="맑은 고딕"/>
        <family val="3"/>
        <charset val="129"/>
      </rPr>
      <t>V2 60/384</t>
    </r>
    <r>
      <rPr>
        <sz val="10"/>
        <rFont val="Noto Sans CJK SC"/>
        <family val="2"/>
      </rPr>
      <t>문장</t>
    </r>
    <r>
      <rPr>
        <sz val="10"/>
        <rFont val="맑은 고딕"/>
        <family val="3"/>
        <charset val="129"/>
      </rPr>
      <t>, V3 27/150</t>
    </r>
    <r>
      <rPr>
        <sz val="10"/>
        <rFont val="Noto Sans CJK SC"/>
        <family val="2"/>
      </rPr>
      <t>문장</t>
    </r>
    <r>
      <rPr>
        <sz val="10"/>
        <rFont val="맑은 고딕"/>
        <family val="3"/>
        <charset val="129"/>
      </rPr>
      <t xml:space="preserve">. </t>
    </r>
    <r>
      <rPr>
        <sz val="10"/>
        <rFont val="Noto Sans CJK SC"/>
        <family val="2"/>
      </rPr>
      <t xml:space="preserve">근소하게 </t>
    </r>
    <r>
      <rPr>
        <sz val="10"/>
        <rFont val="맑은 고딕"/>
        <family val="3"/>
        <charset val="129"/>
      </rPr>
      <t xml:space="preserve">V2 </t>
    </r>
    <r>
      <rPr>
        <sz val="10"/>
        <rFont val="Noto Sans CJK SC"/>
        <family val="2"/>
      </rPr>
      <t>우세</t>
    </r>
    <r>
      <rPr>
        <sz val="10"/>
        <rFont val="맑은 고딕"/>
        <family val="3"/>
        <charset val="129"/>
      </rPr>
      <t>.</t>
    </r>
  </si>
  <si>
    <t>문체</t>
  </si>
  <si>
    <t>문장길이 변동계수 CV (전체)</t>
  </si>
  <si>
    <t>표면상 V2 우세(0.230 vs 0.185)이나 V3 답변이 짧아 생긴 착시.</t>
  </si>
  <si>
    <t>문장길이 CV — 3문장 이상 28건만</t>
  </si>
  <si>
    <t>★ 길이를 맞추면 뒤집힘. 버스티니스는 사실상 동률이며 V3가 근소 우위. 전체 평균만 보면 오판하게 되는 대표 사례.</t>
  </si>
  <si>
    <r>
      <rPr>
        <sz val="10"/>
        <rFont val="맑은 고딕"/>
        <family val="3"/>
        <charset val="129"/>
      </rPr>
      <t xml:space="preserve">MATTR </t>
    </r>
    <r>
      <rPr>
        <sz val="10"/>
        <rFont val="Noto Sans CJK SC"/>
        <family val="2"/>
      </rPr>
      <t xml:space="preserve">어휘다양성 </t>
    </r>
    <r>
      <rPr>
        <sz val="10"/>
        <rFont val="맑은 고딕"/>
        <family val="3"/>
        <charset val="129"/>
      </rPr>
      <t>(</t>
    </r>
    <r>
      <rPr>
        <sz val="10"/>
        <rFont val="Noto Sans CJK SC"/>
        <family val="2"/>
      </rPr>
      <t>전체</t>
    </r>
    <r>
      <rPr>
        <sz val="10"/>
        <rFont val="맑은 고딕"/>
        <family val="3"/>
        <charset val="129"/>
      </rPr>
      <t>)</t>
    </r>
  </si>
  <si>
    <r>
      <rPr>
        <sz val="10"/>
        <rFont val="맑은 고딕"/>
        <family val="3"/>
        <charset val="129"/>
      </rPr>
      <t xml:space="preserve">0.940 vs 0.938 — </t>
    </r>
    <r>
      <rPr>
        <sz val="10"/>
        <rFont val="Noto Sans CJK SC"/>
        <family val="2"/>
      </rPr>
      <t>차이 없음</t>
    </r>
    <r>
      <rPr>
        <sz val="10"/>
        <rFont val="맑은 고딕"/>
        <family val="3"/>
        <charset val="129"/>
      </rPr>
      <t>.</t>
    </r>
  </si>
  <si>
    <r>
      <rPr>
        <sz val="10"/>
        <rFont val="맑은 고딕"/>
        <family val="3"/>
        <charset val="129"/>
      </rPr>
      <t xml:space="preserve">MATTR — </t>
    </r>
    <r>
      <rPr>
        <sz val="10"/>
        <rFont val="Noto Sans CJK SC"/>
        <family val="2"/>
      </rPr>
      <t>길이 통제</t>
    </r>
    <r>
      <rPr>
        <sz val="10"/>
        <rFont val="맑은 고딕"/>
        <family val="3"/>
        <charset val="129"/>
      </rPr>
      <t xml:space="preserve">(V2 </t>
    </r>
    <r>
      <rPr>
        <sz val="10"/>
        <rFont val="Noto Sans CJK SC"/>
        <family val="2"/>
      </rPr>
      <t>앞</t>
    </r>
    <r>
      <rPr>
        <sz val="10"/>
        <rFont val="맑은 고딕"/>
        <family val="3"/>
        <charset val="129"/>
      </rPr>
      <t>2</t>
    </r>
    <r>
      <rPr>
        <sz val="10"/>
        <rFont val="Noto Sans CJK SC"/>
        <family val="2"/>
      </rPr>
      <t xml:space="preserve">문장 </t>
    </r>
    <r>
      <rPr>
        <sz val="10"/>
        <rFont val="맑은 고딕"/>
        <family val="3"/>
        <charset val="129"/>
      </rPr>
      <t xml:space="preserve">vs V3 </t>
    </r>
    <r>
      <rPr>
        <sz val="10"/>
        <rFont val="Noto Sans CJK SC"/>
        <family val="2"/>
      </rPr>
      <t>전체</t>
    </r>
    <r>
      <rPr>
        <sz val="10"/>
        <rFont val="맑은 고딕"/>
        <family val="3"/>
        <charset val="129"/>
      </rPr>
      <t>)</t>
    </r>
  </si>
  <si>
    <t>차이 0.0006 — 동률 확정. 어휘 다양성으로는 두 버전을 구분할 수 없음.</t>
  </si>
  <si>
    <r>
      <rPr>
        <sz val="10"/>
        <rFont val="맑은 고딕"/>
        <family val="3"/>
        <charset val="129"/>
      </rPr>
      <t>1</t>
    </r>
    <r>
      <rPr>
        <sz val="10"/>
        <rFont val="Noto Sans CJK SC"/>
        <family val="2"/>
      </rPr>
      <t>천자당 상투어 수</t>
    </r>
  </si>
  <si>
    <r>
      <rPr>
        <sz val="10"/>
        <rFont val="맑은 고딕"/>
        <family val="3"/>
        <charset val="129"/>
      </rPr>
      <t xml:space="preserve">★ V3 </t>
    </r>
    <r>
      <rPr>
        <sz val="10"/>
        <rFont val="Noto Sans CJK SC"/>
        <family val="2"/>
      </rPr>
      <t>우세</t>
    </r>
    <r>
      <rPr>
        <sz val="10"/>
        <rFont val="맑은 고딕"/>
        <family val="3"/>
        <charset val="129"/>
      </rPr>
      <t>. "</t>
    </r>
    <r>
      <rPr>
        <sz val="10"/>
        <rFont val="Noto Sans CJK SC"/>
        <family val="2"/>
      </rPr>
      <t>지속적으로</t>
    </r>
    <r>
      <rPr>
        <sz val="10"/>
        <rFont val="맑은 고딕"/>
        <family val="3"/>
        <charset val="129"/>
      </rPr>
      <t>/</t>
    </r>
    <r>
      <rPr>
        <sz val="10"/>
        <rFont val="Noto Sans CJK SC"/>
        <family val="2"/>
      </rPr>
      <t>적극적으로</t>
    </r>
    <r>
      <rPr>
        <sz val="10"/>
        <rFont val="맑은 고딕"/>
        <family val="3"/>
        <charset val="129"/>
      </rPr>
      <t>/</t>
    </r>
    <r>
      <rPr>
        <sz val="10"/>
        <rFont val="Noto Sans CJK SC"/>
        <family val="2"/>
      </rPr>
      <t>체계적으로</t>
    </r>
    <r>
      <rPr>
        <sz val="10"/>
        <rFont val="맑은 고딕"/>
        <family val="3"/>
        <charset val="129"/>
      </rPr>
      <t>/</t>
    </r>
    <r>
      <rPr>
        <sz val="10"/>
        <rFont val="Noto Sans CJK SC"/>
        <family val="2"/>
      </rPr>
      <t>노력하고 있습니다</t>
    </r>
    <r>
      <rPr>
        <sz val="10"/>
        <rFont val="맑은 고딕"/>
        <family val="3"/>
        <charset val="129"/>
      </rPr>
      <t xml:space="preserve">" </t>
    </r>
    <r>
      <rPr>
        <sz val="10"/>
        <rFont val="Noto Sans CJK SC"/>
        <family val="2"/>
      </rPr>
      <t>등</t>
    </r>
    <r>
      <rPr>
        <sz val="10"/>
        <rFont val="맑은 고딕"/>
        <family val="3"/>
        <charset val="129"/>
      </rPr>
      <t>. 3</t>
    </r>
    <r>
      <rPr>
        <sz val="10"/>
        <rFont val="Noto Sans CJK SC"/>
        <family val="2"/>
      </rPr>
      <t xml:space="preserve">문장 이상 통제 시에도 </t>
    </r>
    <r>
      <rPr>
        <sz val="10"/>
        <rFont val="맑은 고딕"/>
        <family val="3"/>
        <charset val="129"/>
      </rPr>
      <t>5.33 vs 3.65</t>
    </r>
    <r>
      <rPr>
        <sz val="10"/>
        <rFont val="Noto Sans CJK SC"/>
        <family val="2"/>
      </rPr>
      <t>로 유지</t>
    </r>
    <r>
      <rPr>
        <sz val="10"/>
        <rFont val="맑은 고딕"/>
        <family val="3"/>
        <charset val="129"/>
      </rPr>
      <t>.</t>
    </r>
  </si>
  <si>
    <t>충실성</t>
  </si>
  <si>
    <t>근거일치율 (Evidence 대비 문자 4-gram 중복)</t>
  </si>
  <si>
    <t>★ 가장 큰 격차. V3 우세 59/65. V2는 Evidence에 없는 서술을 상당량 생성.</t>
  </si>
  <si>
    <t>근거일치율 — V2 내부: 앞2문장(C열) vs 뒤문장(D열)</t>
  </si>
  <si>
    <r>
      <rPr>
        <sz val="10"/>
        <rFont val="맑은 고딕"/>
        <family val="3"/>
        <charset val="129"/>
      </rPr>
      <t xml:space="preserve">★ V2 </t>
    </r>
    <r>
      <rPr>
        <sz val="10"/>
        <rFont val="Noto Sans CJK SC"/>
        <family val="2"/>
      </rPr>
      <t xml:space="preserve">내부 대조이므로 </t>
    </r>
    <r>
      <rPr>
        <sz val="10"/>
        <rFont val="맑은 고딕"/>
        <family val="3"/>
        <charset val="129"/>
      </rPr>
      <t>C·D</t>
    </r>
    <r>
      <rPr>
        <sz val="10"/>
        <rFont val="Noto Sans CJK SC"/>
        <family val="2"/>
      </rPr>
      <t xml:space="preserve">열은 </t>
    </r>
    <r>
      <rPr>
        <sz val="10"/>
        <rFont val="맑은 고딕"/>
        <family val="3"/>
        <charset val="129"/>
      </rPr>
      <t>V2/V3</t>
    </r>
    <r>
      <rPr>
        <sz val="10"/>
        <rFont val="Noto Sans CJK SC"/>
        <family val="2"/>
      </rPr>
      <t>가 아님</t>
    </r>
    <r>
      <rPr>
        <sz val="10"/>
        <rFont val="맑은 고딕"/>
        <family val="3"/>
        <charset val="129"/>
      </rPr>
      <t xml:space="preserve">. </t>
    </r>
    <r>
      <rPr>
        <sz val="10"/>
        <rFont val="Noto Sans CJK SC"/>
        <family val="2"/>
      </rPr>
      <t>뒤로 갈수록 근거에서 멀어짐</t>
    </r>
    <r>
      <rPr>
        <sz val="10"/>
        <rFont val="맑은 고딕"/>
        <family val="3"/>
        <charset val="129"/>
      </rPr>
      <t>(57</t>
    </r>
    <r>
      <rPr>
        <sz val="10"/>
        <rFont val="Noto Sans CJK SC"/>
        <family val="2"/>
      </rPr>
      <t xml:space="preserve">건 중 </t>
    </r>
    <r>
      <rPr>
        <sz val="10"/>
        <rFont val="맑은 고딕"/>
        <family val="3"/>
        <charset val="129"/>
      </rPr>
      <t>46</t>
    </r>
    <r>
      <rPr>
        <sz val="10"/>
        <rFont val="Noto Sans CJK SC"/>
        <family val="2"/>
      </rPr>
      <t>건</t>
    </r>
    <r>
      <rPr>
        <sz val="10"/>
        <rFont val="맑은 고딕"/>
        <family val="3"/>
        <charset val="129"/>
      </rPr>
      <t>). V2</t>
    </r>
    <r>
      <rPr>
        <sz val="10"/>
        <rFont val="Noto Sans CJK SC"/>
        <family val="2"/>
      </rPr>
      <t>의 추가 분량 상당수가 무근거 확장</t>
    </r>
    <r>
      <rPr>
        <sz val="10"/>
        <rFont val="맑은 고딕"/>
        <family val="3"/>
        <charset val="129"/>
      </rPr>
      <t>.</t>
    </r>
  </si>
  <si>
    <t>근거 우세 판정 (V2승 / V3승)</t>
  </si>
  <si>
    <r>
      <rPr>
        <sz val="10"/>
        <rFont val="맑은 고딕"/>
        <family val="3"/>
        <charset val="129"/>
      </rPr>
      <t>65</t>
    </r>
    <r>
      <rPr>
        <sz val="10"/>
        <rFont val="Noto Sans CJK SC"/>
        <family val="2"/>
      </rPr>
      <t xml:space="preserve">건 중 </t>
    </r>
    <r>
      <rPr>
        <sz val="10"/>
        <rFont val="맑은 고딕"/>
        <family val="3"/>
        <charset val="129"/>
      </rPr>
      <t>V3</t>
    </r>
    <r>
      <rPr>
        <sz val="10"/>
        <rFont val="Noto Sans CJK SC"/>
        <family val="2"/>
      </rPr>
      <t xml:space="preserve">가 </t>
    </r>
    <r>
      <rPr>
        <sz val="10"/>
        <rFont val="맑은 고딕"/>
        <family val="3"/>
        <charset val="129"/>
      </rPr>
      <t>59</t>
    </r>
    <r>
      <rPr>
        <sz val="10"/>
        <rFont val="Noto Sans CJK SC"/>
        <family val="2"/>
      </rPr>
      <t>건 우세</t>
    </r>
    <r>
      <rPr>
        <sz val="10"/>
        <rFont val="맑은 고딕"/>
        <family val="3"/>
        <charset val="129"/>
      </rPr>
      <t>.</t>
    </r>
  </si>
  <si>
    <t>적합성</t>
  </si>
  <si>
    <t>항목 키워드 충족률</t>
  </si>
  <si>
    <r>
      <rPr>
        <sz val="10"/>
        <rFont val="맑은 고딕"/>
        <family val="3"/>
        <charset val="129"/>
      </rPr>
      <t xml:space="preserve">★ V2 </t>
    </r>
    <r>
      <rPr>
        <sz val="10"/>
        <rFont val="Noto Sans CJK SC"/>
        <family val="2"/>
      </rPr>
      <t>우세</t>
    </r>
    <r>
      <rPr>
        <sz val="10"/>
        <rFont val="맑은 고딕"/>
        <family val="3"/>
        <charset val="129"/>
      </rPr>
      <t>. Field</t>
    </r>
    <r>
      <rPr>
        <sz val="10"/>
        <rFont val="Noto Sans CJK SC"/>
        <family val="2"/>
      </rPr>
      <t>가 요구한 주제어를 본문이 실제로 다루는 비율</t>
    </r>
    <r>
      <rPr>
        <sz val="10"/>
        <rFont val="맑은 고딕"/>
        <family val="3"/>
        <charset val="129"/>
      </rPr>
      <t>.</t>
    </r>
  </si>
  <si>
    <t>적합 우세 판정 (V2승 / V3승)</t>
  </si>
  <si>
    <r>
      <rPr>
        <sz val="10"/>
        <rFont val="맑은 고딕"/>
        <family val="3"/>
        <charset val="129"/>
      </rPr>
      <t>65</t>
    </r>
    <r>
      <rPr>
        <sz val="10"/>
        <rFont val="Noto Sans CJK SC"/>
        <family val="2"/>
      </rPr>
      <t xml:space="preserve">건 중 </t>
    </r>
    <r>
      <rPr>
        <sz val="10"/>
        <rFont val="맑은 고딕"/>
        <family val="3"/>
        <charset val="129"/>
      </rPr>
      <t>V2</t>
    </r>
    <r>
      <rPr>
        <sz val="10"/>
        <rFont val="Noto Sans CJK SC"/>
        <family val="2"/>
      </rPr>
      <t xml:space="preserve">가 </t>
    </r>
    <r>
      <rPr>
        <sz val="10"/>
        <rFont val="맑은 고딕"/>
        <family val="3"/>
        <charset val="129"/>
      </rPr>
      <t>43</t>
    </r>
    <r>
      <rPr>
        <sz val="10"/>
        <rFont val="Noto Sans CJK SC"/>
        <family val="2"/>
      </rPr>
      <t>건 우세</t>
    </r>
    <r>
      <rPr>
        <sz val="10"/>
        <rFont val="맑은 고딕"/>
        <family val="3"/>
        <charset val="129"/>
      </rPr>
      <t>, V3 5</t>
    </r>
    <r>
      <rPr>
        <sz val="10"/>
        <rFont val="Noto Sans CJK SC"/>
        <family val="2"/>
      </rPr>
      <t>건</t>
    </r>
    <r>
      <rPr>
        <sz val="10"/>
        <rFont val="맑은 고딕"/>
        <family val="3"/>
        <charset val="129"/>
      </rPr>
      <t xml:space="preserve">, </t>
    </r>
    <r>
      <rPr>
        <sz val="10"/>
        <rFont val="Noto Sans CJK SC"/>
        <family val="2"/>
      </rPr>
      <t xml:space="preserve">동률 </t>
    </r>
    <r>
      <rPr>
        <sz val="10"/>
        <rFont val="맑은 고딕"/>
        <family val="3"/>
        <charset val="129"/>
      </rPr>
      <t>17</t>
    </r>
    <r>
      <rPr>
        <sz val="10"/>
        <rFont val="Noto Sans CJK SC"/>
        <family val="2"/>
      </rPr>
      <t>건</t>
    </r>
    <r>
      <rPr>
        <sz val="10"/>
        <rFont val="맑은 고딕"/>
        <family val="3"/>
        <charset val="129"/>
      </rPr>
      <t>.</t>
    </r>
  </si>
  <si>
    <t>구체성</t>
  </si>
  <si>
    <t>평균 숫자 출현 수</t>
  </si>
  <si>
    <r>
      <rPr>
        <sz val="10"/>
        <rFont val="맑은 고딕"/>
        <family val="3"/>
        <charset val="129"/>
      </rPr>
      <t>V2 12.9</t>
    </r>
    <r>
      <rPr>
        <sz val="10"/>
        <rFont val="Noto Sans CJK SC"/>
        <family val="2"/>
      </rPr>
      <t xml:space="preserve">개 </t>
    </r>
    <r>
      <rPr>
        <sz val="10"/>
        <rFont val="맑은 고딕"/>
        <family val="3"/>
        <charset val="129"/>
      </rPr>
      <t>/ V3 2.8</t>
    </r>
    <r>
      <rPr>
        <sz val="10"/>
        <rFont val="Noto Sans CJK SC"/>
        <family val="2"/>
      </rPr>
      <t>개</t>
    </r>
    <r>
      <rPr>
        <sz val="10"/>
        <rFont val="맑은 고딕"/>
        <family val="3"/>
        <charset val="129"/>
      </rPr>
      <t xml:space="preserve">. </t>
    </r>
    <r>
      <rPr>
        <sz val="10"/>
        <rFont val="Noto Sans CJK SC"/>
        <family val="2"/>
      </rPr>
      <t xml:space="preserve">길이로 나눠도 </t>
    </r>
    <r>
      <rPr>
        <sz val="10"/>
        <rFont val="맑은 고딕"/>
        <family val="3"/>
        <charset val="129"/>
      </rPr>
      <t>1</t>
    </r>
    <r>
      <rPr>
        <sz val="10"/>
        <rFont val="Noto Sans CJK SC"/>
        <family val="2"/>
      </rPr>
      <t xml:space="preserve">천자당 </t>
    </r>
    <r>
      <rPr>
        <sz val="10"/>
        <rFont val="맑은 고딕"/>
        <family val="3"/>
        <charset val="129"/>
      </rPr>
      <t>23.3 vs 12.8</t>
    </r>
    <r>
      <rPr>
        <sz val="10"/>
        <rFont val="Noto Sans CJK SC"/>
        <family val="2"/>
      </rPr>
      <t xml:space="preserve">로 </t>
    </r>
    <r>
      <rPr>
        <sz val="10"/>
        <rFont val="맑은 고딕"/>
        <family val="3"/>
        <charset val="129"/>
      </rPr>
      <t xml:space="preserve">V2 </t>
    </r>
    <r>
      <rPr>
        <sz val="10"/>
        <rFont val="Noto Sans CJK SC"/>
        <family val="2"/>
      </rPr>
      <t>우세</t>
    </r>
    <r>
      <rPr>
        <sz val="10"/>
        <rFont val="맑은 고딕"/>
        <family val="3"/>
        <charset val="129"/>
      </rPr>
      <t>.</t>
    </r>
  </si>
  <si>
    <t>자연스러움</t>
  </si>
  <si>
    <t>출처 헤지구("~자료상") 총 출현</t>
  </si>
  <si>
    <r>
      <rPr>
        <sz val="10"/>
        <rFont val="맑은 고딕"/>
        <family val="3"/>
        <charset val="129"/>
      </rPr>
      <t>★ V2 0</t>
    </r>
    <r>
      <rPr>
        <sz val="10"/>
        <rFont val="Noto Sans CJK SC"/>
        <family val="2"/>
      </rPr>
      <t xml:space="preserve">건 </t>
    </r>
    <r>
      <rPr>
        <sz val="10"/>
        <rFont val="맑은 고딕"/>
        <family val="3"/>
        <charset val="129"/>
      </rPr>
      <t>/ V3 24</t>
    </r>
    <r>
      <rPr>
        <sz val="10"/>
        <rFont val="Noto Sans CJK SC"/>
        <family val="2"/>
      </rPr>
      <t>건</t>
    </r>
    <r>
      <rPr>
        <sz val="10"/>
        <rFont val="맑은 고딕"/>
        <family val="3"/>
        <charset val="129"/>
      </rPr>
      <t>(</t>
    </r>
    <r>
      <rPr>
        <sz val="10"/>
        <rFont val="Noto Sans CJK SC"/>
        <family val="2"/>
      </rPr>
      <t xml:space="preserve">작성 </t>
    </r>
    <r>
      <rPr>
        <sz val="10"/>
        <rFont val="맑은 고딕"/>
        <family val="3"/>
        <charset val="129"/>
      </rPr>
      <t>70</t>
    </r>
    <r>
      <rPr>
        <sz val="10"/>
        <rFont val="Noto Sans CJK SC"/>
        <family val="2"/>
      </rPr>
      <t xml:space="preserve">건의 </t>
    </r>
    <r>
      <rPr>
        <sz val="10"/>
        <rFont val="맑은 고딕"/>
        <family val="3"/>
        <charset val="129"/>
      </rPr>
      <t xml:space="preserve">34.3%). </t>
    </r>
    <r>
      <rPr>
        <sz val="10"/>
        <rFont val="Noto Sans CJK SC"/>
        <family val="2"/>
      </rPr>
      <t>사람이 쓴 보고서에 없는 표현 — 인간유사성 최대 감점 요인</t>
    </r>
    <r>
      <rPr>
        <sz val="10"/>
        <rFont val="맑은 고딕"/>
        <family val="3"/>
        <charset val="129"/>
      </rPr>
      <t>.</t>
    </r>
  </si>
  <si>
    <t>문장 중간 접속 파손 건수</t>
  </si>
  <si>
    <r>
      <rPr>
        <sz val="10"/>
        <rFont val="맑은 고딕"/>
        <family val="3"/>
        <charset val="129"/>
      </rPr>
      <t>"</t>
    </r>
    <r>
      <rPr>
        <sz val="10"/>
        <rFont val="Noto Sans CJK SC"/>
        <family val="2"/>
      </rPr>
      <t>외부 평가 자료상 또한</t>
    </r>
    <r>
      <rPr>
        <sz val="10"/>
        <rFont val="맑은 고딕"/>
        <family val="3"/>
        <charset val="129"/>
      </rPr>
      <t xml:space="preserve">, ~" </t>
    </r>
    <r>
      <rPr>
        <sz val="10"/>
        <rFont val="Noto Sans CJK SC"/>
        <family val="2"/>
      </rPr>
      <t>같이 접속을 끊고 삽입돼 비문이 된 사례</t>
    </r>
    <r>
      <rPr>
        <sz val="10"/>
        <rFont val="맑은 고딕"/>
        <family val="3"/>
        <charset val="129"/>
      </rPr>
      <t>. V3 5</t>
    </r>
    <r>
      <rPr>
        <sz val="10"/>
        <rFont val="Noto Sans CJK SC"/>
        <family val="2"/>
      </rPr>
      <t>건</t>
    </r>
    <r>
      <rPr>
        <sz val="10"/>
        <rFont val="맑은 고딕"/>
        <family val="3"/>
        <charset val="129"/>
      </rPr>
      <t>.</t>
    </r>
  </si>
  <si>
    <t>균형성</t>
  </si>
  <si>
    <t>리스크·과제 언급 답변 비율</t>
  </si>
  <si>
    <r>
      <rPr>
        <sz val="10"/>
        <rFont val="맑은 고딕"/>
        <family val="3"/>
        <charset val="129"/>
      </rPr>
      <t xml:space="preserve">V2 </t>
    </r>
    <r>
      <rPr>
        <sz val="10"/>
        <rFont val="Noto Sans CJK SC"/>
        <family val="2"/>
      </rPr>
      <t xml:space="preserve">우세이나 본문이 </t>
    </r>
    <r>
      <rPr>
        <sz val="10"/>
        <rFont val="맑은 고딕"/>
        <family val="3"/>
        <charset val="129"/>
      </rPr>
      <t>2.6</t>
    </r>
    <r>
      <rPr>
        <sz val="10"/>
        <rFont val="Noto Sans CJK SC"/>
        <family val="2"/>
      </rPr>
      <t>배 길어 노출 기회가 많은 점 감안 필요</t>
    </r>
    <r>
      <rPr>
        <sz val="10"/>
        <rFont val="맑은 고딕"/>
        <family val="3"/>
        <charset val="129"/>
      </rPr>
      <t>.</t>
    </r>
  </si>
  <si>
    <t>지표ID</t>
  </si>
  <si>
    <t>필드(V2)</t>
  </si>
  <si>
    <t>필드(V3)</t>
  </si>
  <si>
    <r>
      <rPr>
        <b/>
        <sz val="10"/>
        <color rgb="FFFFFFFF"/>
        <rFont val="맑은 고딕"/>
        <family val="3"/>
        <charset val="129"/>
      </rPr>
      <t xml:space="preserve">V2 </t>
    </r>
    <r>
      <rPr>
        <b/>
        <sz val="10"/>
        <color rgb="FFFFFFFF"/>
        <rFont val="Noto Sans CJK SC"/>
        <family val="2"/>
      </rPr>
      <t>본문</t>
    </r>
  </si>
  <si>
    <r>
      <rPr>
        <b/>
        <sz val="10"/>
        <color rgb="FFFFFFFF"/>
        <rFont val="맑은 고딕"/>
        <family val="3"/>
        <charset val="129"/>
      </rPr>
      <t xml:space="preserve">V3 </t>
    </r>
    <r>
      <rPr>
        <b/>
        <sz val="10"/>
        <color rgb="FFFFFFFF"/>
        <rFont val="Noto Sans CJK SC"/>
        <family val="2"/>
      </rPr>
      <t>본문</t>
    </r>
  </si>
  <si>
    <r>
      <rPr>
        <b/>
        <sz val="10"/>
        <color rgb="FFFFFFFF"/>
        <rFont val="맑은 고딕"/>
        <family val="3"/>
        <charset val="129"/>
      </rPr>
      <t>V2</t>
    </r>
    <r>
      <rPr>
        <b/>
        <sz val="10"/>
        <color rgb="FFFFFFFF"/>
        <rFont val="Noto Sans CJK SC"/>
        <family val="2"/>
      </rPr>
      <t>작성</t>
    </r>
  </si>
  <si>
    <r>
      <rPr>
        <b/>
        <sz val="10"/>
        <color rgb="FFFFFFFF"/>
        <rFont val="맑은 고딕"/>
        <family val="3"/>
        <charset val="129"/>
      </rPr>
      <t>V3</t>
    </r>
    <r>
      <rPr>
        <b/>
        <sz val="10"/>
        <color rgb="FFFFFFFF"/>
        <rFont val="Noto Sans CJK SC"/>
        <family val="2"/>
      </rPr>
      <t>작성</t>
    </r>
  </si>
  <si>
    <r>
      <rPr>
        <b/>
        <sz val="10"/>
        <color rgb="FFFFFFFF"/>
        <rFont val="맑은 고딕"/>
        <family val="3"/>
        <charset val="129"/>
      </rPr>
      <t xml:space="preserve">V2 </t>
    </r>
    <r>
      <rPr>
        <b/>
        <sz val="10"/>
        <color rgb="FFFFFFFF"/>
        <rFont val="Noto Sans CJK SC"/>
        <family val="2"/>
      </rPr>
      <t>글자수</t>
    </r>
  </si>
  <si>
    <r>
      <rPr>
        <b/>
        <sz val="10"/>
        <color rgb="FFFFFFFF"/>
        <rFont val="맑은 고딕"/>
        <family val="3"/>
        <charset val="129"/>
      </rPr>
      <t xml:space="preserve">V3 </t>
    </r>
    <r>
      <rPr>
        <b/>
        <sz val="10"/>
        <color rgb="FFFFFFFF"/>
        <rFont val="Noto Sans CJK SC"/>
        <family val="2"/>
      </rPr>
      <t>글자수</t>
    </r>
  </si>
  <si>
    <r>
      <rPr>
        <b/>
        <sz val="10"/>
        <color rgb="FFFFFFFF"/>
        <rFont val="맑은 고딕"/>
        <family val="3"/>
        <charset val="129"/>
      </rPr>
      <t xml:space="preserve">V2 </t>
    </r>
    <r>
      <rPr>
        <b/>
        <sz val="10"/>
        <color rgb="FFFFFFFF"/>
        <rFont val="Noto Sans CJK SC"/>
        <family val="2"/>
      </rPr>
      <t>문장수</t>
    </r>
  </si>
  <si>
    <r>
      <rPr>
        <b/>
        <sz val="10"/>
        <color rgb="FFFFFFFF"/>
        <rFont val="맑은 고딕"/>
        <family val="3"/>
        <charset val="129"/>
      </rPr>
      <t xml:space="preserve">V3 </t>
    </r>
    <r>
      <rPr>
        <b/>
        <sz val="10"/>
        <color rgb="FFFFFFFF"/>
        <rFont val="Noto Sans CJK SC"/>
        <family val="2"/>
      </rPr>
      <t>문장수</t>
    </r>
  </si>
  <si>
    <r>
      <rPr>
        <b/>
        <sz val="10"/>
        <color rgb="FFFFFFFF"/>
        <rFont val="맑은 고딕"/>
        <family val="3"/>
        <charset val="129"/>
      </rPr>
      <t xml:space="preserve">V2 </t>
    </r>
    <r>
      <rPr>
        <b/>
        <sz val="10"/>
        <color rgb="FFFFFFFF"/>
        <rFont val="Noto Sans CJK SC"/>
        <family val="2"/>
      </rPr>
      <t>평균문장길이</t>
    </r>
  </si>
  <si>
    <r>
      <rPr>
        <b/>
        <sz val="10"/>
        <color rgb="FFFFFFFF"/>
        <rFont val="맑은 고딕"/>
        <family val="3"/>
        <charset val="129"/>
      </rPr>
      <t xml:space="preserve">V3 </t>
    </r>
    <r>
      <rPr>
        <b/>
        <sz val="10"/>
        <color rgb="FFFFFFFF"/>
        <rFont val="Noto Sans CJK SC"/>
        <family val="2"/>
      </rPr>
      <t>평균문장길이</t>
    </r>
  </si>
  <si>
    <t>V2 CV</t>
  </si>
  <si>
    <t>V3 CV</t>
  </si>
  <si>
    <t>V2 MATTR</t>
  </si>
  <si>
    <t>V3 MATTR</t>
  </si>
  <si>
    <r>
      <rPr>
        <b/>
        <sz val="10"/>
        <color rgb="FFFFFFFF"/>
        <rFont val="맑은 고딕"/>
        <family val="3"/>
        <charset val="129"/>
      </rPr>
      <t xml:space="preserve">V2 </t>
    </r>
    <r>
      <rPr>
        <b/>
        <sz val="10"/>
        <color rgb="FFFFFFFF"/>
        <rFont val="Noto Sans CJK SC"/>
        <family val="2"/>
      </rPr>
      <t>근거일치율</t>
    </r>
  </si>
  <si>
    <r>
      <rPr>
        <b/>
        <sz val="10"/>
        <color rgb="FFFFFFFF"/>
        <rFont val="맑은 고딕"/>
        <family val="3"/>
        <charset val="129"/>
      </rPr>
      <t xml:space="preserve">V3 </t>
    </r>
    <r>
      <rPr>
        <b/>
        <sz val="10"/>
        <color rgb="FFFFFFFF"/>
        <rFont val="Noto Sans CJK SC"/>
        <family val="2"/>
      </rPr>
      <t>근거일치율</t>
    </r>
  </si>
  <si>
    <r>
      <rPr>
        <b/>
        <sz val="10"/>
        <color rgb="FFFFFFFF"/>
        <rFont val="맑은 고딕"/>
        <family val="3"/>
        <charset val="129"/>
      </rPr>
      <t xml:space="preserve">V2 </t>
    </r>
    <r>
      <rPr>
        <b/>
        <sz val="10"/>
        <color rgb="FFFFFFFF"/>
        <rFont val="Noto Sans CJK SC"/>
        <family val="2"/>
      </rPr>
      <t>항목적합도</t>
    </r>
  </si>
  <si>
    <r>
      <rPr>
        <b/>
        <sz val="10"/>
        <color rgb="FFFFFFFF"/>
        <rFont val="맑은 고딕"/>
        <family val="3"/>
        <charset val="129"/>
      </rPr>
      <t xml:space="preserve">V3 </t>
    </r>
    <r>
      <rPr>
        <b/>
        <sz val="10"/>
        <color rgb="FFFFFFFF"/>
        <rFont val="Noto Sans CJK SC"/>
        <family val="2"/>
      </rPr>
      <t>항목적합도</t>
    </r>
  </si>
  <si>
    <r>
      <rPr>
        <b/>
        <sz val="10"/>
        <color rgb="FFFFFFFF"/>
        <rFont val="맑은 고딕"/>
        <family val="3"/>
        <charset val="129"/>
      </rPr>
      <t xml:space="preserve">V2 </t>
    </r>
    <r>
      <rPr>
        <b/>
        <sz val="10"/>
        <color rgb="FFFFFFFF"/>
        <rFont val="Noto Sans CJK SC"/>
        <family val="2"/>
      </rPr>
      <t>상투어</t>
    </r>
    <r>
      <rPr>
        <b/>
        <sz val="10"/>
        <color rgb="FFFFFFFF"/>
        <rFont val="맑은 고딕"/>
        <family val="3"/>
        <charset val="129"/>
      </rPr>
      <t>/1</t>
    </r>
    <r>
      <rPr>
        <b/>
        <sz val="10"/>
        <color rgb="FFFFFFFF"/>
        <rFont val="Noto Sans CJK SC"/>
        <family val="2"/>
      </rPr>
      <t>천자</t>
    </r>
  </si>
  <si>
    <r>
      <rPr>
        <b/>
        <sz val="10"/>
        <color rgb="FFFFFFFF"/>
        <rFont val="맑은 고딕"/>
        <family val="3"/>
        <charset val="129"/>
      </rPr>
      <t xml:space="preserve">V3 </t>
    </r>
    <r>
      <rPr>
        <b/>
        <sz val="10"/>
        <color rgb="FFFFFFFF"/>
        <rFont val="Noto Sans CJK SC"/>
        <family val="2"/>
      </rPr>
      <t>상투어</t>
    </r>
    <r>
      <rPr>
        <b/>
        <sz val="10"/>
        <color rgb="FFFFFFFF"/>
        <rFont val="맑은 고딕"/>
        <family val="3"/>
        <charset val="129"/>
      </rPr>
      <t>/1</t>
    </r>
    <r>
      <rPr>
        <b/>
        <sz val="10"/>
        <color rgb="FFFFFFFF"/>
        <rFont val="Noto Sans CJK SC"/>
        <family val="2"/>
      </rPr>
      <t>천자</t>
    </r>
  </si>
  <si>
    <r>
      <rPr>
        <b/>
        <sz val="10"/>
        <color rgb="FFFFFFFF"/>
        <rFont val="맑은 고딕"/>
        <family val="3"/>
        <charset val="129"/>
      </rPr>
      <t xml:space="preserve">V2 </t>
    </r>
    <r>
      <rPr>
        <b/>
        <sz val="10"/>
        <color rgb="FFFFFFFF"/>
        <rFont val="Noto Sans CJK SC"/>
        <family val="2"/>
      </rPr>
      <t>숫자수</t>
    </r>
  </si>
  <si>
    <r>
      <rPr>
        <b/>
        <sz val="10"/>
        <color rgb="FFFFFFFF"/>
        <rFont val="맑은 고딕"/>
        <family val="3"/>
        <charset val="129"/>
      </rPr>
      <t xml:space="preserve">V3 </t>
    </r>
    <r>
      <rPr>
        <b/>
        <sz val="10"/>
        <color rgb="FFFFFFFF"/>
        <rFont val="Noto Sans CJK SC"/>
        <family val="2"/>
      </rPr>
      <t>숫자수</t>
    </r>
  </si>
  <si>
    <r>
      <rPr>
        <b/>
        <sz val="10"/>
        <color rgb="FFFFFFFF"/>
        <rFont val="맑은 고딕"/>
        <family val="3"/>
        <charset val="129"/>
      </rPr>
      <t xml:space="preserve">V3 </t>
    </r>
    <r>
      <rPr>
        <b/>
        <sz val="10"/>
        <color rgb="FFFFFFFF"/>
        <rFont val="Noto Sans CJK SC"/>
        <family val="2"/>
      </rPr>
      <t>헤지구</t>
    </r>
  </si>
  <si>
    <r>
      <rPr>
        <b/>
        <sz val="10"/>
        <color rgb="FFFFFFFF"/>
        <rFont val="맑은 고딕"/>
        <family val="3"/>
        <charset val="129"/>
      </rPr>
      <t xml:space="preserve">V3 </t>
    </r>
    <r>
      <rPr>
        <b/>
        <sz val="10"/>
        <color rgb="FFFFFFFF"/>
        <rFont val="Noto Sans CJK SC"/>
        <family val="2"/>
      </rPr>
      <t>접속파손</t>
    </r>
  </si>
  <si>
    <t>근거 우세</t>
  </si>
  <si>
    <t>적합 우세</t>
  </si>
  <si>
    <t>상태(V3)</t>
  </si>
  <si>
    <t>EBX-Q-001</t>
  </si>
  <si>
    <t>일반 / 전략 (Strategy) / ESG 비전 및 중장기 전략</t>
  </si>
  <si>
    <r>
      <rPr>
        <sz val="9"/>
        <rFont val="맑은 고딕"/>
        <family val="3"/>
        <charset val="129"/>
      </rPr>
      <t xml:space="preserve">ESG </t>
    </r>
    <r>
      <rPr>
        <sz val="9"/>
        <rFont val="Noto Sans CJK SC"/>
        <family val="2"/>
      </rPr>
      <t xml:space="preserve">경영 </t>
    </r>
    <r>
      <rPr>
        <sz val="9"/>
        <rFont val="맑은 고딕"/>
        <family val="3"/>
        <charset val="129"/>
      </rPr>
      <t xml:space="preserve">/ ESG </t>
    </r>
    <r>
      <rPr>
        <sz val="9"/>
        <rFont val="Noto Sans CJK SC"/>
        <family val="2"/>
      </rPr>
      <t>비전 및 중장기 전략</t>
    </r>
  </si>
  <si>
    <t>대웅제약은 인류와 지구의 건강을 지키는 기업이라는 ESG 비전을 수립하고, 경제적·사회적·환경적 지속가능성을 균형 있게 고려한 ESG 경영을 추진하고 있습니다. 특히 보다 강화된 윤리경영을 통해 신뢰받는 기업으로 거듭나기 위한 진보하는 윤리경영을 추진하며, ESG 체계의 고도화와 책임 있는 경영 실천을 지속적으로 강화하고 있습니다.</t>
  </si>
  <si>
    <t>검토 중인 제안 자료상 대웅제약은 ‘인류와 지구의 건강을 지키는 기업’이라는 ESG 비전 아래 경제적, 사회적, 환경적 지속가능성을 균형 있게 고려한 ESG 경영을 추진하고 있습니다. ‘CARE for people and planet’ 전략을 기반으로 Cure, Advance, Respect, Earth의 4대 방향성을 설정하여 영역별 핵심 과제와 세부 실행과제를 수립하였으며, 이를 통해 ESG 체계 고도화와 책임 있는 경영 실천을 강화하고 있습니다.</t>
  </si>
  <si>
    <t>Answer: passed / Consumer Decision: answered_partial / QA Grade: cautious / Publication: review_required / Publication Reason: draft_evidence / Coverage: draft_evidence / RAG Coverage: insufficient / Answerable: False / Evidence: insufficient</t>
  </si>
  <si>
    <t>EBX-Q-002</t>
  </si>
  <si>
    <t>일반 / 거버넌스 (Governance) / ESG 거버넌스 및 의사결정 체계</t>
  </si>
  <si>
    <r>
      <rPr>
        <sz val="9"/>
        <rFont val="맑은 고딕"/>
        <family val="3"/>
        <charset val="129"/>
      </rPr>
      <t xml:space="preserve">ESG </t>
    </r>
    <r>
      <rPr>
        <sz val="9"/>
        <rFont val="Noto Sans CJK SC"/>
        <family val="2"/>
      </rPr>
      <t xml:space="preserve">경영 </t>
    </r>
    <r>
      <rPr>
        <sz val="9"/>
        <rFont val="맑은 고딕"/>
        <family val="3"/>
        <charset val="129"/>
      </rPr>
      <t xml:space="preserve">/ ESG </t>
    </r>
    <r>
      <rPr>
        <sz val="9"/>
        <rFont val="Noto Sans CJK SC"/>
        <family val="2"/>
      </rPr>
      <t>거버넌스 및 의사결정 체계</t>
    </r>
  </si>
  <si>
    <t>대웅제약 이사회는 대표이사를 포함한 6인의 이사로 구성되어 있으며, 그룹사의 환경안전 경영방침과 조직현황, 활동실적, KPI, 예산 및 환경안전보건사업계획을 검토하고 승인하는 최고 의사결정기구로서의 역할을 수행합니다. 이사회는 주요 ESG 및 환경경영 현안을 보고받아 전략적 방향성을 검토하며, 이를 효율적으로 실행하기 위해 ESG위원회와 대웅그룹 EHS 경영위원회를 운영하고 있습니다. ESG위원회는 전사적인 ESG 전략과 주요 지속가능경영 이슈를 검토하고 심의하는 역할을 담당하며, 대웅그룹 EHS 경영위원회는 환경·안전·보건(EHS) 분야의 정책과 목표 및 실행과제를 수립하고 이행 현황을 점검하는 책임을 집행합니다. 또한, 사업장 단위의 환경관리 활동과 성과를 관리하고 부서 간 협업을 지원하기 위해 EHS 간사협의체를 운영함으로써 현장 중심의 관리 체계를 강화하고 있습니다. 실무 지원 및 실행 체계로는 ESG팀과 ESG TF를 구축하여 운영하고 있습니다. ESG팀은 사외이사 지원조직으로서 위원회의 원활한 운영과 ESG 안건 검토를 지원하는 역할을 수행합니다. 이와 함께 ESG TF는 영역별 실무부서와 긴밀하게 연계하여 주요 과제를 추진함으로써, ESG 경영의 가치가 조직 전반에 내재화되고 실질적인 성과로 이어질 수 있도록 통합적으로 관리하고 있습니다. 이러한 체계적인 거버넌스 구조를 통해 대웅제약은 전략 수립부터 실행, 점검에 이르는 전 과정에서 ESG 경영의 실효성을 확보하고 있습니다.</t>
  </si>
  <si>
    <t>검토 중인 제안 자료상 최고 의사결정기구인 이사회는 주요 ESG 및 환경경영 현안을 보고받고 전략적 방향을 검토하며, 이사회 산하 ESG위원회는 전사 ESG 전략과 주요 지속가능경영 이슈를 검토 및 심의합니다. 대웅그룹 EHS 경영위원회는 환경 안전 보건(EHS) 분야의 정책과 목표를 수립하고 이행 현황을 점검하며, EHS 간사협의체는 사업장 단위의 환경관리 활동과 성과를 관리합니다. 실무적으로는 ESG팀이 위원회 운영 및 안건 검토를 지원하고, ESG TF가 영역별 실무부서와 연계하여 주요 과제를 추진하고 있습니다.</t>
  </si>
  <si>
    <t>EBX-Q-003</t>
  </si>
  <si>
    <t>일반 / 위험 관리 (Risk Management) / ESG 리스크 식별 및 관리 체계</t>
  </si>
  <si>
    <r>
      <rPr>
        <sz val="9"/>
        <rFont val="맑은 고딕"/>
        <family val="3"/>
        <charset val="129"/>
      </rPr>
      <t xml:space="preserve">ESG </t>
    </r>
    <r>
      <rPr>
        <sz val="9"/>
        <rFont val="Noto Sans CJK SC"/>
        <family val="2"/>
      </rPr>
      <t xml:space="preserve">경영 </t>
    </r>
    <r>
      <rPr>
        <sz val="9"/>
        <rFont val="맑은 고딕"/>
        <family val="3"/>
        <charset val="129"/>
      </rPr>
      <t xml:space="preserve">/ ESG </t>
    </r>
    <r>
      <rPr>
        <sz val="9"/>
        <rFont val="Noto Sans CJK SC"/>
        <family val="2"/>
      </rPr>
      <t>리스크 식별 및 관리 체계</t>
    </r>
  </si>
  <si>
    <t>대웅제약은 가치사슬 전반의 지속가능성 리스크를 체계적으로 식별하고 관리하기 위해 영역별 맞춤형 대응 체계를 운영하고 있습니다. 제약·바이오 산업의 특성을 고려하여 R&amp;D부터 원료 조달, 제조, 포장, 유통, 제품 사용 및 폐의약품 처리까지의 전 과정에서 자연과의 접점을 검토하며, 국내 주요 사업장을 중심으로 자연 관련 의존성과 영향, 리스크의 관리 우선순위를 도출하고 있습니다. 특히 환경규제, 탄소가격, 공시 요구, 극한기상, 평균기온 상승 등 주요 요인에 따른 배출량, 에너지 사용량, 검증 수준, 피해 현황 등을 지속적으로 모니터링하여 대응 실행력을 강화하고 있습니다. 공급망 리스크 관리를 위해서는 협력회사의 노동인권, 안전보건, 환경, 윤리 등 ESG 전반을 아우르는 포괄적 관리 기준을 적용하고 있습니다. 공급망 내 지속가능성 리스크를 사전에 식별하기 위해 실사 의무를 리스크 관리 체계에 통합하고, 협력회사가 자율적으로 행동규범을 이행하고 지속가능경영을 실천할 수 있도록 지원합니다. 정보보호 분야에서는 개인정보보호 고도화를 위해 17개 점검 대상을 기준으로 위험 식별 및 이행조치를 실시하고 있습니다. 주요 개인정보 처리 업무와 시스템을 대상으로 전년도 이슈와 현황을 재검토하여 미흡 항목을 발굴하고, 세부 수행계획을 통해 보호대책 이행을 지원하고 있습니다. 이를 통해 총 66개 항목 중 27개 항목의 이행조치를 완료하였으며, 나머지 39개 항목에 대해서는 현재 이행조치를 진행 중입니다.</t>
  </si>
  <si>
    <t>대웅제약은 영역별 특성에 맞춘 ESG 리스크 식별 및 관리 체계를 운영하고 있습니다. 검토 중인 제안 자료상 기후변화 대응을 위해 TCFD 권고안에 따라 전환 및 물리적 리스크와 에너지 효율화 기회를 식별하고, 환경규제와 탄소가격 등 주요 요인별 관리 지표를 연계하여 모니터링하고 있습니다. 자연자본 및 생물다양성 리스크는 TNFD의 LEAP 접근법을 참고하여 가치사슬 전반의 접점을 검토하고 관리 우선순위를 도출하는 평가 절차를 수립하였습니다. 또한, 공급망 내 지속가능성 리스크를 사전에 식별하고 관리하기 위해 실사 의무를 리스크 관리 체계에 통합하고 있으며, 정보보호 분야에서는 점검 대상을 기준으로 위험 식별 및 이행조치를 실시하고 모니터링을 통해 이를 관리하고 있습니다.</t>
  </si>
  <si>
    <t>Answer: passed / Consumer Decision: answered_partial / QA Grade: cautious / Publication: review_required / Publication Reason: draft_evidence / Coverage: draft_evidence / RAG Coverage: complete / Answerable: True / Evidence: high_confidence</t>
  </si>
  <si>
    <t>EBX-Q-004</t>
  </si>
  <si>
    <t>사회 / 전략 (Strategy) / 안전보건 정책 및 목표</t>
  </si>
  <si>
    <t>안전 보건 / 안전보건 정책 및 목표</t>
  </si>
  <si>
    <t>대웅제약은 생명존중의 가치를 경영의 최우선 순위에 두고, 모든 경영 활동에서 환경·안전·보건을 핵심 원칙으로 삼는 환경안전보건 경영방침을 수립하여 운영하고 있습니다. 국내외 환경·안전·보건 법규와 국제 협약을 엄격히 준수하며 글로벌 수준의 관리체계를 구축함으로써 법적 기준을 넘어서는 책임경영을 실천하고 있습니다. 해당 계획은 이사회의 검토와 승인을 거쳐 실행되며, EHS 경영 목표 달성을 통해 구성원과 이해관계자가 법규를 준수하는 문화를 조성하여 사업장 내 사고 예방에 주력하고 있습니다. 실행 측면에서는 2025년 목표인 무재해를 달성하였으며, 근로자 정기교육, 신규채용 시 교육, 전문인력 직무교육 등 법정 교육 이수율 100%를 기록하였습니다. 또한 생산본부를 중심으로 아차사고 제안 활동을 활발히 추진하고 있으며, 본사 최초의 안전보건 관리체계를 구축하고 있습니다. 이와 더불어 임직원 건강증진프로그램을 운영하여 질병 예방과 생산성 향상을 도모하는 등 안전과 보건 영향을 통합적으로 관리하고 있습니다.</t>
  </si>
  <si>
    <t>대웅제약은 '생명존중'의 가치를 경영의 최우선 순위에 두고, 모든 경영 활동에서 환경 안전 보건을 핵심 원칙으로 삼는 환경안전보건 경영방침을 운영하고 있습니다. 이를 위해 국내외 법규와 국제 협약을 엄격히 준수하며 글로벌 수준의 관리체계를 수립 운영하는 책임경영을 실천하고 있습니다. 또한 매년 안전보건 경영 원칙 점검과 함께 안전 및 보건에 관한 계획을 수립하여 이사회의 검토와 승인을 거쳐 실행하며, 2025년에는 무재해 달성을 목표로 설정하였습니다.</t>
  </si>
  <si>
    <t>Answer: passed / Consumer Decision: answered / QA Grade: full / Publication: published / Publication Reason: complete_grounded_answer / Coverage: complete_grounded_answer / RAG Coverage: complete / Answerable: True / Evidence: high_confidence</t>
  </si>
  <si>
    <t>EBX-Q-005</t>
  </si>
  <si>
    <t>사회 / 거버넌스 (Governance) / 안전보건 관리 조직 및 책임</t>
  </si>
  <si>
    <t>안전 보건 / 안전보건 관리 조직 및 책임</t>
  </si>
  <si>
    <t>검토 중인 제안 자료상 대웅그룹은 대웅제약 대표이사가 위원장을 맡는 EHS경영위원회를 통해 환경안전보건 의사결정을 수행하며, 반기 1회 이상 그룹사별 EHS 운영 전략과 이슈 및 개선사항을 심의합니다. EHS경영위원회 산하에는 그룹사 실무 담당자로 구성된 EHS간사협의체를 운영하여 경영진의 전략을 현장에 반영하고 지표 관리 및 효과적인 관리방안을 마련하고 있습니다.</t>
  </si>
  <si>
    <t>Answer: passed / Consumer Decision: answered_partial / QA Grade: cautious / Publication: review_required / Publication Reason: draft_evidence / Coverage: draft_evidence / RAG Coverage: complete / Answerable: True / Evidence: medium_confidence</t>
  </si>
  <si>
    <t>EBX-Q-006</t>
  </si>
  <si>
    <t>사회 / 위험 관리 (Risk Management) / 산업안전 리스크 식별 및 예방 활동</t>
  </si>
  <si>
    <t>안전 보건 / 산업안전 리스크 식별 및 예방 활동</t>
  </si>
  <si>
    <t>대웅제약은 생산활동 전반의 유해·위험요인 평가를 통해 중대성을 결정하고 감소대책을 수립함으로써 중대재해 예방과 지속경영을 추진하고 있습니다. 2025년 위험성평가를 통해 총 441건의 위험요인을 발굴하여 개선하였으며, 외주공사뿐만 아니라 내부 작업 중 위험공정이 발생할 경우 허가를 받고 작업하는 작업허가제도를 도입하여 리스크 통제를 강화하였습니다. 위험성평가 개선활동 완료 후에는 안전보건관리책임자에게 경과를 보고하며, 산업안전보건 게시판 공지 및 개인 메일링을 통해 관련 활동을 임직원과 공유하고 있습니다. 안전문화 확산을 위해 분기별 산업안전보건위원회와 매월 도급사업장 안전보건회의체를 운영하고 있으며, 이를 통해 아차사고 제안 우수사례 공유, 안전보건 시설 개선, 관리감독자 교육 등을 수행하고 있습니다. 또한 모든 구성원의 안전의식 고취를 위해 분기별 안전보건교육을 실시하고, 신규 채용 시 배치 전 안전보건교육을 온라인 또는 집체교육 형태로 제공하여 사고 예방 체계를 구축하였습니다. 예측 불가능한 비상사태에 대비하여 화재, 누출, 누유, 자연재해 및 정전 등을 사전에 예방하고 신속하게 대응하기 위한 비상대응 체제를 운영하고 있습니다. 정기적인 비상대응 교육과 훈련을 통해 실질적인 대응 방안을 습득하고 체계를 확립하고 있으며, 모든 부상 및 사고 조사 보고서와 해결 기록을 보관하여 관리합니다. 아울러 안전 및 보건 문제가 완전히 해결될 때까지 노동자를 안전하게 보호하기 위한 조치를 취하며, 측정 가능한 정책과 목표를 수립하여 지속적으로 모니터링하고 있습니다.</t>
  </si>
  <si>
    <t>대웅제약은 생산활동 전반의 유해 위험요인 평가를 통해 중대성을 결정하고 감소대책을 수립 및 이행함으로써 중대재해 예방 활동을 수행하고 있으며, 2025년 위험성평가를 통해 441건의 요인을 발굴하여 개선하였습니다. 특히 외주공사뿐만 아니라 내부 작업 중 위험공정 발생 시 허가를 받는 작업허가제도를 도입하였으며, 안전 보건 화학물질 분야 전문가를 통해 현장 내 유해위험요인을 도출하고 있습니다. 또한 화재, 누출, 자연재해 및 정전 등에 대비한 비상대응 체제를 구축하여 위기상황 유형별 매뉴얼을 운영하고 정기적인 교육과 훈련을 실시하고 있습니다. 이 외에도 분기별 안전보건교육, 산업안전보건위원회 및 도급사업장 안전보건회의체 운영, 팀별 안전보건 수칙 배포 등을 통해 안전의식을 확산하고 사고를 예방하고 있습니다.</t>
  </si>
  <si>
    <t>Answer: passed / Consumer Decision: answered_partial / QA Grade: partial / Publication: review_required / Publication Reason: missing_expected_facets / Coverage: missing_expected_facets / RAG Coverage: complete / Answerable: True / Evidence: high_confidence</t>
  </si>
  <si>
    <t>EBX-Q-007</t>
  </si>
  <si>
    <t>사회 / 지표 (Metrics) / 산업재해 발생 현황 및 안전 성과 지표</t>
  </si>
  <si>
    <t>안전 보건 / 산업재해 발생 현황 및 안전 성과 지표</t>
  </si>
  <si>
    <t>대웅제약은 사업장 내 잠재적 위험 요인을 선제적으로 발굴하고 제거하여 임직원이 안심하고 근무할 수 있는 안전한 작업 환경을 조성하는 데 역량을 집중하고 있습니다. 현장의 실질적인 위험 관리를 위해 위험성평가를 체계적으로 실시하고 있으며, 2025년에는 이를 통해 총 441건의 위험 요인을 발굴하고 개선함으로써 사고 예방 체계를 강화하였습니다. 공정 안전 관리의 실효성을 높이기 위해 대웅제약 생산본부에서는 작업허가제도를 도입하여 운영하고 있습니다. 해당 제도는 기존의 외주공사뿐만 아니라 내부 작업 중 위험공정이 발생하는 경우에도 반드시 사전 허가를 득한 후 작업을 수행하도록 규정하여, 고위험 작업 시 발생할 수 있는 안전사고를 원천적으로 차단하는 데 기여하고 있습니다. 이러한 예방 중심의 안전보건 관리 활동을 통해 산업재해 발생 현황을 면밀히 관리하고 있습니다. 2025년 기준 산업재해 발생비율은 0.03%를 기록하였으며, 재해자 수는 1명으로 집계되었습니다. 이는 2024년의 발생비율 0.07%와 재해자 수 2명과 비교하여 감소한 수치입니다. 또한, 2023년에 1명이 발생했던 업무상 질병의 경우 2024년과 2025년에는 발생 사례가 없는 것으로 확인되어 보건 관리 측면에서도 안정적인 성과를 유지하고 있습니다.</t>
  </si>
  <si>
    <t>대웅그룹은 모든 구성원의 안전의식 고취와 사고 예방을 위해 분기별 안전보건교육 및 채용 시 배치 전 안전보건교육을 실시하고 있으며, 생산본부에서는 사고 발생 및 고위험 작업 부서를 대상으로 맞춤형 특성화 교육을 추진하고 있습니다.</t>
  </si>
  <si>
    <t>EBX-Q-008</t>
  </si>
  <si>
    <t>사회 / 전략 (Strategy) / 인권경영 정책 및 목표</t>
  </si>
  <si>
    <t>노동 및 인권 / 인권경영 정책 및 목표</t>
  </si>
  <si>
    <t>대웅제약은 사업관리와 경영 전반에서 임직원을 포함한 모든 이해관계자의 인권을 존중하기 위해 인권경영을 추진하고 있습니다. 이사회 주관으로 인권경영 원칙과 이사회 규정 조항을 정비하고 공유하며, 국내외 인권 원칙을 반영한 인권경영 정책을 수립하여 인권 보호를 실천하고 있습니다. 특히 인권 침해 리스크를 사전에 진단하고 관리할 수 있도록 이사회 차원에서 관련 정책과 규정을 지속적으로 보완하고 있으며, 본사 사업장을 대상으로 인권영향평가를 실시하여 리스크 관리 체계를 운영하고 있습니다. 인권경영의 구체적인 실천을 위해 Great Place To Work 인권경영정책 9대 원칙을 수립하였습니다. 해당 원칙에는 차별금지, 아동노동착취 금지, 근로조건 준수, 결사 및 단체교섭의 자유, 인도적 대우, 산업안정 보장, 강제노동 금지, 지역주민 인권보호, 고객의 인권보호가 포함됩니다. 또한, 인권경영의 단계적 고도화를 위해 2030년까지의 중장기 목표를 설정하여 추진하고 있습니다. 2026년까지 인권경영 확대, 2028년까지 시스템 내재화, 2030년까지 인권경영 고도화를 달성한다는 방향성을 가지고 있습니다. 이를 위해 매년 인권영향평가와 임직원 만족도 조사를 실시하고 있으며, 향후 인권영향평가 범위를 전 사업장 및 핵심 협력업체까지 확대하고 최종 준수율 80% 도달을 목표로 하고 있습니다. 아울러 임직원 다양성 교육의 자발적 이수율을 50% 이상으로 유지하며 인권 존중 문화를 확산시키고 있습니다.</t>
  </si>
  <si>
    <t>대웅제약은 국내외 인권 원칙을 반영한 인권경영 정책을 수립하여 임직원을 포함한 모든 이해관계자의 인권 존중을 실천하고 있습니다. 인권경영 정책의 9대 원칙으로는 차별금지, 아동노동착취 금지, 근로조건 준수, 결사 및 단체교섭의 자유, 인도적 대우, 산업안정 보장, 강제노동 금지, 지역주민 인권보호, 고객의 인권보호가 포함됩니다. 또한 2030년까지 인권경영 확대, 시스템 내재화, 고도화를 중장기 목표로 설정하고, 매년 인권영향평가 실시 및 핵심 협력업체까지 평가 범위를 확대하는 등의 세부 계획을 추진하고 있습니다.</t>
  </si>
  <si>
    <t>EBX-Q-009</t>
  </si>
  <si>
    <t>사회 / 거버넌스 (Governance) / 노동 및 인권 관리 체계</t>
  </si>
  <si>
    <t>노동 및 인권 / 노동 및 인권 관리 체계</t>
  </si>
  <si>
    <t>이사회는 인권경영 원칙과 이사회 규정 조항을 정비하고 공유함으로써 인권 보호를 위한 거버넌스 기반을 공고히 하고 있으며, 국내외 인권 원칙을 충실히 반영한 인권경영 정책을 수립하여 운영하고 있습니다. 대웅제약은 임직원을 비롯한 모든 이해관계자의 인권을 존중하는 문화를 조성하기 위해 인권경영 정책을 체계적으로 실행하고 있으며, 특히 본사 사업장을 대상으로 인권영향평가를 실시하여 잠재적인 인권 리스크를 선제적으로 진단하고 관리할 수 있는 운영 체계를 마련하였습니다. 인권경영의 실질적인 이행과 권익 보호를 위해 사내 직장 내 괴롭힘 등 내부 인권 관련 고충 처리를 전담하는 '신문고' 조직을 운영하고 있습니다. 해당 채널은 인사부서인 인사쉐어드2팀 담당자를 통해 접수 및 관리되며, 이를 통해 임직원이 겪는 인권 침해 요소를 신속하게 파악하고 대응하고 있습니다. 이와 더불어 노동조합 및 한마음협의회, 다양한 임직원 고충 처리 채널을 가동하여 구성원들의 의견을 적극적으로 경청하고 있으며, 접수된 모든 의견과 요청 사항은 사내 규정과 방침에 따라 엄격하게 조치하여 신뢰받는 노사 관계를 구축하고 있습니다. 또한 강제노동 및 인신매매 금지를 위한 공개적인 약속과 함께 이를 뒷받침하는 구체적인 정책과 절차를 보유하고 있으며, 회사의 활동으로 인해 인권에 부정적인 영향을 받은 대상자가 있을 경우 이를 해결하기 위한 구제 절차를 제공하여 책임 있는 경영을 실천하고 있습니다. 이러한 인권경영 활동의 성과는 공식 홈페이지와 언론 보도 등 다양한 공개 채널을 통해 투명하게 소통하고 있으며, 글로벌 ESG 인권경영 인증 수상 등을 통해 대외적으로도 인권 보호 체계의 우수성을 인정받고 있습니다.</t>
  </si>
  <si>
    <t>대웅제약은 임직원과 이해관계자의 인권 존중을 위해 인권경영 정책을 수립하여 운영하고 있습니다. 본사 사업장에서 인권영향평가를 실시함으로써 인권 리스크를 진단하고 관리할 수 있는 체계를 마련하고 있으며, 이사회 차원에서 관련 정책과 규정을 지속적으로 보완하고 있습니다.</t>
  </si>
  <si>
    <t>Answer: passed / Consumer Decision: answered_partial / QA Grade: partial / Publication: review_required / Publication Reason: missing_expected_facets / Coverage: missing_expected_facets / RAG Coverage: insufficient / Answerable: False / Evidence: insufficient</t>
  </si>
  <si>
    <t>EBX-Q-010</t>
  </si>
  <si>
    <t>사회 / 위험 관리 (Risk Management) / 인권 리스크 식별 및 대응 활동</t>
  </si>
  <si>
    <t>노동 및 인권 / 인권 리스크 식별 및 대응 활동</t>
  </si>
  <si>
    <t>Answer: failed / Consumer Decision: blocked_api_status / QA Grade: failed / Publication: blocked / Publication Reason: qa_not_passed / Coverage: writer_empty / RAG Coverage: insufficient / Answerable: False / Evidence: insufficient</t>
  </si>
  <si>
    <t>EBX-Q-011</t>
  </si>
  <si>
    <t>사회 / 지표 (Metrics) / 인권 관련 고충 및 처리 현황</t>
  </si>
  <si>
    <t>노동 및 인권 / 인권 관련 고충 및 처리 현황</t>
  </si>
  <si>
    <t>대웅제약은 협력적인 노사소통 활성화를 통해 내부 이해관계자의 인권을 보호하고 고충을 해결하는 체계를 운영하고 있습니다. 2025년 기준 내부 이해관계자로부터 접수된 인권 관련 고충 처리 건수는 총 63건이며, 접수된 모든 건에 대해 처리를 완료하여 인권 보호 및 고충 해결을 위한 실효성 있는 관리 성과를 거두었습니다.</t>
  </si>
  <si>
    <t>Answer: empty / Consumer Decision: blocked_qa / QA Grade: failed / Publication: blocked / Publication Reason: qa_not_passed / Coverage: writer_empty / RAG Coverage: complete / Answerable: True / Evidence: high_confidence</t>
  </si>
  <si>
    <t>EBX-Q-012</t>
  </si>
  <si>
    <t>사회 / 전략 (Strategy) / 제품 안전 및 품질 관리 정책</t>
  </si>
  <si>
    <t>제품 안전 / 제품 안전 및 품질 관리 정책</t>
  </si>
  <si>
    <t>대웅제약은 소비자에게 안전한 제품과 일관된 서비스를 제공하는 것을 최우선 가치로 삼아 체계적인 품질 관리 시스템을 구축하고 이를 주기적으로 점검하고 있습니다. 특히 소비자 권리 보호를 실현하기 위해 구체적이고 측정 가능하며 달성 가능한 정책과 목표를 수립하고, 이를 기반으로 한 지속적인 모니터링 체계를 운영하며 품질 경영의 실효성을 높이고 있습니다. 제품의 안전성과 품질을 확보하기 위해 소비자 권리 보호에 영향을 미칠 수 있는 실체적 또는 잠재적 리스크를 정기적으로 평가하고 있으며, 이러한 평가 결과를 바탕으로 품질 관리 프로세스를 지속적으로 개선하고 있습니다. 또한, 전 임직원을 대상으로 소비자 권리 보호를 위한 전문 교육과 인식 제고 활동을 제공함으로써, 모든 구성원이 제품 안전의 중요성을 깊이 인식하고 실무에 적용할 수 있는 전사적 품질 문화를 조성하고 있습니다. 더불어 소비자 안전사고 발생 시 신속하고 정확하게 대응할 수 있는 전용 체계를 구축하여 운영함으로써, 잠재적인 리스크를 최소화하고 소비자 안전을 최우선으로 확보하는 데 주력하고 있습니다. 이러한 통합적인 품질 관리 정책과 실행 체계를 통해 제품의 설계부터 사후 관리 단계까지 엄격한 기준을 적용하며, 소비자 신뢰를 바탕으로 한 지속 가능한 헬스케어 가치를 창출하고 있습니다.</t>
  </si>
  <si>
    <t>대웅제약은 소비자에게 안전한 제품과 일관된 서비스를 제공하기 위해 품질 관리 시스템을 구축하고 이를 주기적으로 점검하고 있습니다. 또한 소비자 권리 보호를 위해 구체적이고 측정 가능하며 달성 가능한 정책 및 목표를 수립하여 모니터링하고 있으며, 임직원을 대상으로 관련 교육과 인식 제고 활동을 제공하고 소비자 권리 보호에 미치는 실체적 또는 잠재적 영향을 정기적으로 평가하고 있습니다.</t>
  </si>
  <si>
    <t>Answer: passed / Consumer Decision: answered_partial / QA Grade: partial / Publication: review_required / Publication Reason: partial_answer / Coverage: partial_answer / RAG Coverage: insufficient / Answerable: False / Evidence: insufficient</t>
  </si>
  <si>
    <t>EBX-Q-013</t>
  </si>
  <si>
    <t>사회 / 거버넌스 (Governance) / 품질 관리 조직 및 책임</t>
  </si>
  <si>
    <t>제품 안전 / 품질 관리 조직 및 책임</t>
  </si>
  <si>
    <t>품질경영(QM), 품질보증(QA), 품질관리(QC) 조직은 상호 유기적인 협업 체계를 구축하여 안전하고 높은 품질의 제품 생산을 위한 전방위적인 관리 책임을 수행하고 있습니다. 특히 QA, 콜센터, 학술팀 등 이상사례 수집과 밀접한 관련이 있는 유관부서를 대상으로는 Advanced Pharmacovigilance(PV) 교육을 별도로 제공하여 제품 안전 관리의 전문성을 제고하고 있습니다. 제품의 안전성 확보를 위해 대웅제약이 생산하는 모든 제품의 전 생애주기에 걸쳐 이상사례와 안전성 문제를 과학적으로 탐지하고 평가하는 약물감시 활동을 전개하고 있습니다. 이를 위해 RMP, 재평가, 보고, 재심사, 사용권고 등의 제도를 통해 관리 체계를 지속적으로 강화하고 있으며, 글로벌 규제 보고 의무를 엄격히 준수하여 제품의 유익성을 평가하고 있습니다. 안전성 정보 수집 체계는 홈페이지 내 이상사례 보고 시스템을 중심으로 자발적 보고, 문헌, 임상연구, 해외사례 등 다양한 경로를 통해 다각도로 운영됩니다. 수집된 정보는 시판 전후의 안전성 시험 및 분석법 검증 과정을 거쳐 데이터의 신뢰성을 확보하고 있습니다. 또한, 품질 관리의 효율성과 정확성을 높이기 위해 품질경영시스템(QMS)을 비롯하여 전자문서관리시스템(EDMS), 실험실정보관리시스템(LIMS), 생산관리시스템(MES) 등 고도화된 디지털 시스템을 도입하여 운영함으로써 체계적인 품질 관리 환경을 구현하고 있습니다.</t>
  </si>
  <si>
    <t>대웅제약은 품질경영(QM), 품질보증(QA), 품질관리(QC) 부서 간의 유기적인 협업을 통해 제품의 안전성과 고품질을 관리하고 있습니다. 품질경영(QM)팀은 그룹 전체의 품질정책 수립, 품질 기획 및 개선 활동을 주도하며 최신 GMP 가이드라인과 규정을 적용하여 글로벌 진출을 지원합니다. 품질보증(QA) 및 품질관리(QC) 조직은 SOP 문서화, 밸리데이션, 환경 및 공정관리, 시험 및 감사 업무를 수행하며, 전 임직원을 대상으로 GMP 및 PV 교육을 제공하여 품질 역량을 강화하고 있습니다.</t>
  </si>
  <si>
    <t>EBX-Q-014</t>
  </si>
  <si>
    <t>사회 / 위험 관리 (Risk Management) / 제품 품질 및 안전 리스크 관리</t>
  </si>
  <si>
    <t>제품 안전 / 제품 품질 및 안전 리스크 관리</t>
  </si>
  <si>
    <t>대웅제약은 사업 운영 전반에서 발생할 수 있는 잠재적 리스크를 효율적으로 관리하고 안정적인 사업 영위를 지속하기 위해 체계적인 운영 리스크 관리 시스템을 구축하여 운영하고 있습니다. 특히 제품 및 서비스 품질과 관련된 리스크를 선제적으로 제어하고자 품질경영시스템과 스마트 공정 운영을 도입하였으며, 이를 통해 품질 및 공정 관리 전반의 안전성을 확보하고 리스크를 정밀하게 관리하고 있습니다. 리스크 관리의 실효성을 높이기 위해 주요 부서들은 관련 법규의 변화를 지속적으로 모니터링하고 있으며, 이에 따라 내부통제 정책 전반을 개선하고 보완하는 활동을 통해 리스크 대응 역량을 강화하고 있습니다. 또한 소비자 권리 보호를 최우선 가치로 삼아 구체적이고 측정 가능하며 달성 가능한 정책과 목표를 수립하여 이를 상시 모니터링하는 체계를 가동하고 있습니다. 소비자 안전사고 발생 시에는 신속하고 정확하게 대응할 수 있는 전용 체계를 갖추어 운영함으로써 고객의 안전을 보장하고 피해를 최소화하는 데 주력하고 있습니다. 아울러 제품의 설계부터 폐기까지 이르는 생애주기 전반에 걸쳐 지속가능성과 친환경성을 통합적으로 고려하여 반영하고 있으며, 해당 요소들을 정기적으로 측정하고 관리함으로써 제품 안전성과 환경적 책임 경영을 동시에 실현하고 있습니다.</t>
  </si>
  <si>
    <t>대웅제약은 품질경영시스템 및 스마트 공정 운영을 통해 제품 및 서비스 품질 관련 리스크를 관리하고 있습니다. 또한, 주요 부서들은 관련 법규의 변화에 따라 내부통제 정책 전반을 지속적으로 개선하고 보완함으로써 사업 운영 전반의 리스크를 효율적으로 관리하고 안정적인 사업 영위를 위한 시스템을 구축하여 운영하고 있습니다.</t>
  </si>
  <si>
    <t>EBX-Q-015</t>
  </si>
  <si>
    <t>사회 / 지표 (Metrics) / 제품 안전 및 품질 관련 사고 현황</t>
  </si>
  <si>
    <t>제품 안전 / 제품 안전 및 품질 관련 사고 현황</t>
  </si>
  <si>
    <t>Answer: failed / Consumer Decision: blocked_qa / QA Grade: failed / Publication: blocked / Publication Reason: qa_not_passed / Coverage: writer_empty / RAG Coverage: complete / Answerable: True / Evidence: high_confidence</t>
  </si>
  <si>
    <t>EBX-Q-016</t>
  </si>
  <si>
    <t>사회 / 전략 (Strategy) / 정보보안 및 개인정보 보호 정책</t>
  </si>
  <si>
    <t>정보보호 / 정보보안 및 개인정보 보호 정책</t>
  </si>
  <si>
    <t>디지털 전환의 가속화로 정보보안 및 정보보호의 중요성이 증대됨에 따라, 대웅제약은 글로벌 수준의 강력한 보안 체계를 지속적으로 강화하고 있습니다. 이를 위해 정보보호 정책을 제정하고 매년 1회 이상 개정을 실시함으로써 최신 보안 위협에 기민하게 대응하고 전사적인 보안 역량을 고도화하고 있습니다. 특히 법무자문을 통해 1개의 정책, 3개의 규정, 12개의 지침으로 구성된 체계적인 정보보호 정책 체계를 재정비하여 데이터 보호를 위한 관리 기준과 원칙을 명확히 수립하였습니다. 이러한 정보보호 정책은 내부 임직원뿐만 아니라 관계사 및 협력사 등 업무와 관련된 모든 이해관계자에게 공유하고 있으며, 정책 준수를 권고함으로써 공급망 전반의 보안 수준을 상향 평준화하는 데 주력하고 있습니다. 또한 기술적 방어 체계 구축에 그치지 않고 보안 캠페인, 공지, 정기 교육 등 임직원의 보안 인식을 제고하기 위한 다각적인 활동을 전개하여 인적 보안 리스크를 최소화하고 있습니다. 이와 함께 내부 정보 유출을 비롯한 이상 행위를 실시간으로 탐지하기 위한 모니터링 시스템을 상시 운영함으로써, 정책적 기준과 기술적 통제가 조화를 이루는 통합 보안 관리 체계를 공고히 하고 있습니다. 대웅제약은 이러한 다층적인 보안 전략을 통해 기업의 핵심 자산과 개인정보를 안전하게 보호하며 신뢰받는 디지털 환경을 조성하고 있습니다.</t>
  </si>
  <si>
    <t>대웅제약은 1개의 정책, 3개의 규정, 12개의 지침으로 구성된 정보보호 정책 체계를 법무자문을 통해 재정비하였으며, 매년 1회 이상 개정을 통해 보안 역량을 강화하고 있습니다. 임직원, 관계사, 협력사 등 모든 이해관계자에게 해당 정책을 공유하고 준수를 권고하며, 해외 파트너사를 대상으로 보안 교육과 감사를 실시하여 정보 유출을 예방하고 있습니다. 또한, ISO 27001(정보보안관리 시스템) 및 ISO 27701(개인정보보호 경영 시스템) 국제 표준 인증을 유지하여 정보 자산과 고객 개인정보를 보호하고 있으며, 전문 모니터링 시스템을 통해 내부 정보 유출 및 이상 행위에 선제적으로 대응하고 있습니다.</t>
  </si>
  <si>
    <t>EBX-Q-017</t>
  </si>
  <si>
    <t>사회 / 거버넌스 (Governance) / 정보보호 관리 조직</t>
  </si>
  <si>
    <t>정보보호 / 정보보호 관리 조직</t>
  </si>
  <si>
    <t>준법경영본부 정보보호팀이 대웅제약의 정보보호 업무를 전담하여 운영하고 있습니다. 전사적인 정보보호 강화를 위해 조직적, 인적, 물리적, 기술적 통제 영역 전반에서 회사 기밀정보와 개인정보보호 시스템을 종합적으로 분석하고 있으며, 이를 바탕으로 체계적인 개선 로드맵을 수립하여 이행하고 있습니다. 정보보안 및 정보보호 규정은 감독 및 규제 당국의 지침과 변화하는 업무 환경을 반영하여 매년 최소 한 차례 개정하며, 정보보호위원회의 검토와 최고경영자의 승인을 거쳐 공개하는 체계를 갖추고 있습니다. 특히 산업통상자원부가 지정한 국가핵심기술인 '보툴리눔 톡신 제제 생산기술'을 보유함에 따라, '국가핵심기술 보호관리 지침'을 제정하여 전문적인 산업보안 관리체계를 운영 중입니다. 또한 대웅 관계사에 쉐어드 서비스를 제공함으로써 그룹사 보안 전략 수립을 지원하고 관리를 수행하며, 그룹 전체가 대웅제약과 동일한 수준의 정보보안 관리체계를 유지할 수 있도록 지원하고 있습니다. 이러한 관리 체계는 해외 제조소인 '셀라톡스'의 보안관리체계 기준 정립으로 확대되어, 해외 법인의 국가핵심기술 보호 성과로 이어지고 있습니다.</t>
  </si>
  <si>
    <t>대웅제약의 정보보호 업무는 준법경영본부 정보보호팀에서 전담하고 있으며, 조직적, 인적, 물리적, 기술적 통제 영역에 걸쳐 기밀정보 및 개인정보보호 시스템을 분석하고 개선 로드맵을 수립하여 이행하고 있습니다. 또한 정보보안 및 정보보호 규정은 매년 최소 한 차례 개정하며, 정보보호위원회의 검토와 최고경영자의 승인을 거쳐 공개하는 관리 체계를 운영하고 있습니다. 아울러 대웅 관계사에 쉐어드 서비스를 제공하여 그룹사 보안 전략 수립을 지원하고 동일한 수준의 정보보안 관리체계를 운영할 수 있도록 지원하고 있습니다.</t>
  </si>
  <si>
    <t>EBX-Q-018</t>
  </si>
  <si>
    <t>사회 / 위험 관리 (Risk Management) / 정보보안 및 개인정보 보호 리스크 관리</t>
  </si>
  <si>
    <t>정보보호 / 정보보안 및 개인정보 보호 리스크 관리</t>
  </si>
  <si>
    <t>대웅제약은 법무자문을 통해 1개의 정책, 3개의 규정, 12개의 지침으로 구성된 정보보호 정책 체계를 재정비하여 운영하고 있습니다. 이러한 정책 체계는 임직원을 비롯하여 관계사 및 협력사 등 업무와 관련된 모든 이해관계자에게 공유하고 있으며, 이를 통해 전사적인 정책 준수를 권고하고 있습니다. 전사 정보보호 역량 강화를 위해 조직적, 인적, 물리적, 기술적 통제 영역 전반에 걸쳐 회사 기밀정보와 개인정보 보호 시스템을 종합적으로 분석하고 있으며, 이를 기반으로 수립한 체계적인 개선 로드맵을 충실히 이행하고 있습니다. 기술적 방어 체계의 구축뿐만 아니라 보안 캠페인, 공지, 정기 교육 등 임직원의 보안 인식을 제고하기 위한 다각적인 활동을 전개하고 있으며, 내부 정보 유출 및 이상 행위를 실시간으로 탐지하기 위한 모니터링 시스템을 상시 운영하여 리스크 대응력을 높이고 있습니다. 실질적인 보호대책 이행을 위해 세부 수행계획을 작성하고 배포하여 관련 담당자들의 실행력을 지원하고 있습니다. 그 결과, 관리 대상 항목 중 27개 항목에 대한 이행조치를 완료하였으며, 나머지 39개 항목에 대해서도 지속적으로 조치를 진행하며 보안 수준을 고도화하고 있습니다. 아울러 그룹 전체의 정보보호 수준을 상향 평준화하기 위해 대웅 관계사에 쉐어드 서비스를 제공하고 그룹사 보안 전략 수립을 지원함으로써, 관계사들이 대웅제약과 동일한 수준의 정보보안 관리체계를 안정적으로 운영할 수 있도록 통합적인 관리 체계를 구축하고 있습니다.</t>
  </si>
  <si>
    <t>대웅제약은 ISO 27001(정보보안) 및 ISO 27701(개인정보보호) 인증을 유지하여 정보 자산과 고객 개인정보를 보호하고 있습니다. 법무자문을 통해 1개의 정책, 3개의 규정, 12개의 지침으로 구성된 정보보호 정책 체계를 재정비하였으며, 전문 모니터링 시스템을 구축하여 내부 정보 유출 및 이상 행위에 대해 상시 모니터링과 선제적 대응 체계를 운영하고 있습니다. 또한, 2024년에는 17개 점검 대상을 기준으로 정보보호 위험 식별 및 이행조치를 실시하여 미흡 항목에 대한 보호대책 이행을 지원하고 있으며, 해외 파트너사를 대상으로 보안 교육과 감사를 실시하여 정보 유출을 예방하고 있습니다.</t>
  </si>
  <si>
    <t>EBX-Q-019</t>
  </si>
  <si>
    <t>사회 / 지표 (Metrics) / 개인정보 침해 및 정보보안 사고 현황</t>
  </si>
  <si>
    <t>정보보호 / 개인정보 침해 및 정보보안 사고 현황</t>
  </si>
  <si>
    <t>대웅제약은 정보보호 정책을 제정하고 매년 1회 이상 개정을 통해 전사적인 보안 역량을 강화하고 있습니다. 이러한 체계적인 관리 체계를 바탕으로 2022년 제약업계 최초로 정보보안관리 시스템인 ISO 27001과 개인정보보호 경영 시스템인 ISO 27701 국제 표준인증을 획득하였으며, 이를 3년 연속 유지하며 글로벌 수준의 보안 신뢰성을 확보하였습니다. 실질적인 정보보호 성과 측면에서는 대웅과 대웅제약 합산 기준으로 2022년부터 2025년까지 규제 기관에 의한 고객 사생활 또는 개인정보 침해 관련 불만 건수가 0건을 기록하며 안정적인 관리 상태를 유지하고 있습니다. 앞으로도 글로벌 수준의 강력한 보안 체계를 지속적으로 강화하고, 클라우드 보안 체계 구축 및 임직원 보안 인식 프로그램 확대 등을 통해 정보보호 관리체계를 더욱 발전시켜 나갈 계획입니다.</t>
  </si>
  <si>
    <t>EBX-Q-020</t>
  </si>
  <si>
    <t>환경 / 전략 (Strategy) / 환경경영 정책 및 목표</t>
  </si>
  <si>
    <t>환경경영 / 환경경영 정책 및 목표</t>
  </si>
  <si>
    <t>대웅제약은 탄소배출 및 오염물질 저감 등 친환경 경영을 통한 무재해를 추구하며, 전 임직원의 철저한 책임의식과 적극적인 의무 이행 참여를 바탕으로 법적 규제 및 정해진 절차를 엄격히 준수하는 환경경영을 실현하고 있습니다. 이를 위해 ISO14001 환경경영시스템에 기반하여 관리 절차와 프로세스를 체계적으로 수립하고 운영함으로써, 제품 제조과정에서 발생할 수 있는 잠재적인 환경 문제와 기후변화 리스크에 선제적으로 대응하고 환경에 미치는 부정적인 영향을 최소화하는 데 주력하고 있습니다. 회사는 환경 관련 정보를 체계적으로 수집하고 평가하는 관리 체계를 구축하여 운영 중이며, 환경 개선을 위해 측정 가능한 목표를 설정하고 해당 목표의 적절성을 정기적으로 점검함으로써 실행력을 높이고 있습니다. 이러한 환경 성과 개선 노력은 단순한 기업 활동의 범위를 넘어 제품과 서비스의 개발 및 제공 전 과정으로 확대하여 지속적으로 추진하고 있습니다. 또한, 전 임직원을 대상으로 환경 관련 교육과 훈련을 정기적으로 실시함으로써 환경 경영에 대한 인식을 제고하고 실질적인 이행 역량을 강화하고 있습니다. 이를 통해 전사적인 환경 보호 및 지속가능한 운영 체계를 공고히 하며, 규제 준수를 넘어선 능동적인 환경 관리 문화를 정착시키고 있습니다.</t>
  </si>
  <si>
    <t>대웅제약은 탄소배출 및 오염물질 저감 등 친환경 경영을 통한 무재해를 추구하며, ISO14001 환경경영시스템에 따라 관리 절차와 프로세스를 체계적으로 수립 및 운영하고 있습니다. 이를 통해 제품 제조과정에서 발생할 수 있는 환경 문제와 기후변화에 선제적으로 대응하여 환경에 미치는 부정적인 영향을 최소화하고 있습니다. 외부 평가 자료상 또한, 환경경영체제를 수립 및 유지하며 환경 개선을 위한 측정 가능한 목표를 설정하고 정기적으로 점검하며, 제품과 서비스의 개발 및 제공 과정에서 환경 성과를 개선하기 위한 노력을 지속하고 있습니다.</t>
  </si>
  <si>
    <t>Answer: passed / Consumer Decision: answered_partial / QA Grade: cautious / Publication: review_required / Publication Reason: assessment_only / Coverage: assessment_only / RAG Coverage: complete / Answerable: True / Evidence: high_confidence</t>
  </si>
  <si>
    <t>EBX-Q-021</t>
  </si>
  <si>
    <t>환경 / 거버넌스 (Governance) / 환경경영 조직 및 책임</t>
  </si>
  <si>
    <t>환경경영 / 환경경영 조직 및 책임</t>
  </si>
  <si>
    <t>대웅그룹 EHS 경영위원회는 대표이사를 포함한 6인의 이사회 구성원으로 조직되어 환경안전 경영 체계를 감독하고 있습니다. 해당 위원회는 매년 대웅 그룹사의 환경안전 경영방침과 조직 현황, 활동 실적 및 KPI를 검토하며, 예산과 환경안전보건 사업계획을 승인함으로써 전사적인 환경경영의 책임과 실행력을 확보하고 있습니다.</t>
  </si>
  <si>
    <t>대웅그룹은 대표이사를 포함한 6인으로 구성된 이사회를 통해 EHS 경영 조직을 운영하고 있습니다. 해당 조직은 매년 그룹사의 환경안전 경영방침, 조직현황, 활동실적, KPI, 예산 및 환경안전보건사업계획 등을 검토하고 승인하는 책임 체계를 갖추고 있습니다.</t>
  </si>
  <si>
    <t>EBX-Q-022</t>
  </si>
  <si>
    <t>환경 / 위험 관리 (Risk Management) / 환경 영향 및 환경 리스크 관리</t>
  </si>
  <si>
    <t>환경경영 / 환경 영향 및 환경 리스크 관리</t>
  </si>
  <si>
    <t>비즈니스 운영과 제품 및 서비스 전반에서 발생할 수 있는 부정적인 환경 영향을 정기적으로 식별하고 평가하는 체계적인 관리 프로세스를 가동하고 있습니다. 특히 사업장 내 환경 리스크를 사전에 파악하고 이에 따른 개선 활동을 수행함으로써 잠재적 위험 요인을 선제적으로 관리하는 데 집중합니다. 이러한 리스크 관리 관점은 투자의사결정 단계까지 적용되어, 환경적 위험 및 기회 요인을 면밀히 검토하여 경영 전략에 반영하고 있습니다. 환경 및 환경권 보호를 위해 구체적이고 측정 가능하며 달성 가능한 정책과 목표를 수립하여 지속적으로 모니터링하고 있습니다. 이를 기반으로 환경 목표 및 성과 관리, 법규 준수, 에너지 및 온실가스 관리 등 주요 환경경영 활동을 체계적으로 이행하며 리스크 대응 역량을 강화하고 있습니다. 실질적인 환경 영향 저감을 위해 원자재와 에너지 사용을 최적화하고, 폐기물 및 온실가스 배출량을 감축하는 활동을 전개하여 환경 부하를 최소화하고 있습니다. 또한 모든 임직원을 대상으로 정기적인 환경 교육을 제공함으로써 전 구성원이 환경 리스크에 대한 인식을 제고하고 자발적으로 환경 경영을 실천하는 문화를 조성하고 있습니다.</t>
  </si>
  <si>
    <t>외부 평가 자료상 대웅제약은 비즈니스 운영, 제품 또는 서비스와 관련된 부정적인 환경 영향을 정기적으로 식별하고 평가하고 있습니다.</t>
  </si>
  <si>
    <t>EBX-Q-023</t>
  </si>
  <si>
    <t>환경 / 지표 (Metrics) / 환경 성과 지표 및 환경 사고 현황</t>
  </si>
  <si>
    <t>환경경영 / 환경 성과 지표 및 환경 사고 현황</t>
  </si>
  <si>
    <t>대웅제약은 에너지 효율 개선과 자원 순환 확대를 통해 환경 경영 성과를 관리하고 있습니다. 에너지 원단위의 경우 2025년 기준 65.86GJ/억원으로, 2024년의 68.23GJ/억원 대비 감소하며 전년도 목표였던 73.27GJ/억원을 달성하였습니다. 수자원 및 폐기물 관리 측면에서도 지속적인 개선을 추진하고 있습니다. 용수 재사용률은 2024년 7.23%에서 2025년 9.34%로 상승하였으며, 향후 2026년에는 14.7%까지 확대하는 것을 목표로 하고 있습니다. 폐기물 재활용률은 2024년 89.2%에 이어 2025년 89.1%를 기록하였으며, 2026년에는 90.2% 달성을 목표로 설정하여 자원 순환 체계를 강화하고 있습니다.</t>
  </si>
  <si>
    <t>EBX-Q-024</t>
  </si>
  <si>
    <t>거버넌스 / 전략 (Strategy) / 윤리경영 정책 및 목표</t>
  </si>
  <si>
    <t>윤리경영 / 윤리경영 정책 및 목표</t>
  </si>
  <si>
    <t>대웅제약은 임직원이 모든 업무 수행 과정에서 반드시 준수해야 할 윤리적 가치와 행동 원칙을 체계적으로 정의한 윤리규범을 수립하여 운영하고 있습니다. 이는 기업 경영의 투명성을 확보하고 사회적 책임을 다하기 위한 근간으로서, 전 임직원이 공유하는 윤리적 기준점이 됩니다. 더불어 윤리규범에 명시된 추상적인 원칙들을 실제 업무 현장에서 구체적으로 적용할 수 있도록 세부적인 지침과 기준을 담은 행동준칙을 마련하였습니다. 이러한 행동준칙은 임직원이 직면할 수 있는 다양한 상황에서 올바른 판단을 내릴 수 있도록 돕는 실무적인 가이드라인 역할을 수행하며, 윤리경영의 실행력을 실질적으로 높이는 데 기여하고 있습니다. 회사는 단순히 규범을 제정하는 것에 그치지 않고, 윤리규범과 행동준칙이 조직 내에서 실질적으로 이행될 수 있도록 다각적인 노력을 기울이고 있습니다. 이를 통해 윤리경영이 일시적인 캠페인이 아닌 기업 문화의 핵심 가치로 깊이 뿌리내릴 수 있도록 추진하고 있습니다. 나아가 대웅제약은 CP 운영과 윤리경영 체계를 더욱 공고히 구축하여 전사적인 CP 준수 문화를 정착시키는 데 주력하고 있습니다. 이러한 노력은 2026년에도 지속적으로 추진될 예정이며, 철저한 윤리·준법 경영을 통해 Global Healthcare Group이라는 기업 비전에 걸맞은 글로벌 수준의 경쟁력과 신뢰도를 갖춘 기업으로 성장해 나가고자 합니다.</t>
  </si>
  <si>
    <t>대웅제약은 임직원이 업무 수행 과정에서 준수해야 할 윤리적 가치와 행동 원칙을 명시한 윤리규범과 이를 실제 업무에 적용하기 위한 구체적인 지침인 행동준칙을 운영하고 있습니다. 대외 관계에서의 정직과 성실 유지, 불공정한 청탁 및 부당 이익 취득 금지를 강조하며, 윤리규범 위반 행위에 대해서는 무관용 원칙을 적용하여 철저히 조사하고 조치하고 있습니다. 또한, CP(공정거래 자율준수 프로그램) 운영과 윤리경영을 공고히 하여 리베이트 없는 투명한 윤리 기업을 입증하고, 보다 강화된 윤리경영을 통해 신뢰받는 기업으로 거듭나는 것을 목표로 하고 있습니다.</t>
  </si>
  <si>
    <t>EBX-Q-025</t>
  </si>
  <si>
    <t>거버넌스 / 거버넌스 (Governance) / 윤리경영 조직 및 운영 체계</t>
  </si>
  <si>
    <t>윤리경영 / 윤리경영 조직 및 운영 체계</t>
  </si>
  <si>
    <t>대웅제약은 윤리경영 신문고를 운영하여 임직원의 고충 사항과 윤리규범 위반 제보, 제도 개선 의견 등을 상시 접수하고 있습니다. 이를 통해 조직 내 투명성과 청렴성을 강화하고 불공정 행위를 사전에 예방함으로써, 임직원이 함께 참여하는 건전한 기업문화를 조성하는 데 주력하고 있습니다. 신문고를 통한 제보 대상은 윤리규범 및 관련 법규를 위반하는 뇌물 수수, 부당거래, 성희롱 등의 행위를 포함하여 금품수수나 향응제공과 같이 건전한 기업문화를 저해하는 비윤리적 행위 전반으로 규정하고 있습니다. 아울러 단순한 위반 제보에 그치지 않고, 효율적인 업무 처리 방식이나 기업문화의 긍정적인 변화를 이끌어낼 수 있는 정책 개선 제안까지 폭넓게 접수하여 운영 체계의 실효성을 높이고 있습니다. 특히 제보자가 신분 노출이나 인사상 불이익에 대한 우려 없이 자유롭게 의견을 개진할 수 있도록 철저한 제보자 보호 원칙을 준수하고 있습니다. 제보자의 신원을 엄격히 보장하는 보호 체계를 통해 내부 신고 제도의 신뢰도를 확보하고, 이를 바탕으로 윤리경영 위반 사항을 체계적으로 관리하며 청렴한 조직 환경을 구축하고 있습니다.</t>
  </si>
  <si>
    <t>대웅제약은 공정거래 관련 법규의 자율적 준수를 위해 CP(공정거래자율준수프로그램)를 운영하고 있습니다. 9명으로 구성된 CP 전담조직을 중심으로 교육, 모니터링, 제재, 평가 체계를 구축하여 운영 중이며, CP위원회 운영과 제품설명회 상시 점검, 위반자 징계조치 등을 수행하고 있습니다. 또한 그룹 관계사 지원 및 파트너사 정기감사 대응을 통해 투명한 준법경영 체계를 강화하고 있습니다.</t>
  </si>
  <si>
    <t>EBX-Q-026</t>
  </si>
  <si>
    <t>거버넌스 / 위험 관리 (Risk Management) / 윤리 및 준법 리스크 관리</t>
  </si>
  <si>
    <t>윤리경영 / 윤리 및 준법 리스크 관리</t>
  </si>
  <si>
    <t>대웅제약은 국내외 법규 및 규정을 철저히 준수하고 기업 윤리를 강화함으로써 법규 리스크를 최소화하는 데 주력하고 있습니다. 특히 ISO37001 부패방지경영시스템을 기반으로 부패리스크 평가, 내부심사, 사후심사 및 경영검토를 수행하며 준법·윤리경영 체계를 고도화하고 인증을 유지하고 있습니다. 공정하고 투명한 영업 및 마케팅 문화 정착을 위해 경제적 이익 지출보고 및 모니터링 체계를 강화하고 있습니다. 제품설명회, 견본품 제공, 학회참가 및 임상시험 지원, 시판 후 조사 등 항목별 지출내역을 작성 및 보관하여 심평원에 제출하고 있으며, 지출관리 시스템 개선과 영업부 운영기준 강화를 통해 관리 체계를 정교화하였습니다. 또한 영업·마케팅 비용 사용 내역에 대한 상시 점검과 법인카드 사용 모니터링 시나리오를 세분화하여 리스크를 선제적으로 관리합니다. 준법경영의 실천력을 높이기 위해 CP(공정거래자율준수프로그램) 전담조직을 설치하여 불공정 거래 리스크를 제거하고 있으며, 임직원을 대상으로 공정거래 및 부패방지 서약과 교육을 운영하고 있습니다. 아울러 CSO 신고제 대응을 위해 의약품 및 의료기기 판촉영업자 신고를 완료하고 관련 의무교육 수료를 진행하는 등 법적 준거성을 확보하고 있습니다. 이와 함께 주요 부서들은 법규 변화에 따라 내부통제 정책을 지속적으로 개선 및 보완하며 사업 운영 전반의 리스크를 효율적으로 관리하고 있습니다.</t>
  </si>
  <si>
    <t>대웅제약은 부패 및 법규 리스크를 최소화하기 위해 ISO 37001(부패방지경영시스템) 인증을 취득하여 국제 표준 기반의 경영 시스템을 구축 및 운영하고 있으며, 부패리스크 평가, 내부심사, 사후심사 및 경영검토를 통해 체계를 고도화하고 있습니다. 또한 공정거래법, 약사법 등 관련 법규의 자율적 준수를 위해 공정거래자율준수프로그램(CP)을 운영하고 있으며, 이를 전담하는 CP 전담조직을 설치하여 불공정 거래 리스크를 관리하고 있습니다. 이와 함께 경제적 이익 지출보고 및 모니터링 체계 강화, 전사 부패방지 교육 및 임직원 서약 실시, CSO 신고제 대응 등을 통해 투명한 영업 마케팅 문화를 정착시키고 관련 법규 변화에 따라 내부통제 정책을 지속적으로 개선하고 있습니다.</t>
  </si>
  <si>
    <t>EBX-Q-027</t>
  </si>
  <si>
    <t>거버넌스 / 지표 (Metrics) / 윤리 위반 및 준법 관련 사건 현황</t>
  </si>
  <si>
    <t>윤리경영 / 윤리 위반 및 준법 관련 사건 현황</t>
  </si>
  <si>
    <t>대웅과 대웅제약 합산 기준으로 윤리 및 준법 경영 성과를 통합 관리하고 있습니다. 징계 합계 건수는 2022년 1건에서 2023년 8건, 2024년 11건을 거쳐 2025년에는 19건으로 집계되었습니다. 징계 세부 항목 중 관리감독 소홀은 2023년 5건, 2024년 2건, 2025년 2건이 발생한 것으로 확인됩니다. 법규 및 규제 위반과 관련하여 벌금 또는 처벌을 받은 사건은 2022년과 2023년에 각각 2건씩 발생하였으나, 2024년과 2025년에는 발생하지 않았습니다. 사례별 위반 현황을 살펴보면, 국내 마케팅 활동에 관한 광고 위반은 2022년 2건, 2023년 1건, 2025년 1건이 확인되었으며, 여기에는 2023년 우루샷 광고 업무 행정처분과 2025년 임팩타민프리미엄원스정 광고업무정지 사례가 포함됩니다. 기타 규정 위반의 경우 2022년 1건, 2023년 1건, 2024년 3건, 2025년 1건이 발생하였습니다. 주요 사례로는 2023년 페노스탑 제조업무정지 3개월과 2024년 주플리외용액 자진회수, 엘도스시럽 회수폐기명령, 클로아트 영업자회수조치 등이 있습니다. 아울러 직장 내 괴롭힘 및 법인카드 부정사용 등 CP 기준 위반자에 대해서는 인사위원회 회부를 통해 감봉 3개월 이상의 중징계를 시행하는 등 엄격한 윤리 기준을 적용하여 관리하고 있습니다.</t>
  </si>
  <si>
    <t>EBX-Q-028</t>
  </si>
  <si>
    <t>환경 / 전략 (Strategy) / 온실가스 감축 전략 및 탄소중립 목표</t>
  </si>
  <si>
    <t>기후행동 / 온실가스 감축 전략 및 탄소중립 목표</t>
  </si>
  <si>
    <t>최고경영진의 책임 아래 도전적인 목표와 실행계획을 수립하고, 정기적인 점검과 평가를 통해 경영시스템의 실효성을 지속적으로 고도화하고 있습니다. 대웅제약은 탄소중립 실현과 환경영향 최소화를 핵심 전략 방향으로 설정하여 친환경 원자재의 사용을 확대하고, 온실가스 저감과 오염 예방 및 자원순환 활동을 활성화하는 데 주력하고 있습니다. 특히 대기, 수질, 폐기물, 화학물질 등 주요 환경영향 요인을 선제적으로 관리하는 체계를 운영하고 있으며, 친환경 기술혁신과 공정 개선을 통해 제품의 전 과정에서 발생하는 환경영향을 최소화함으로써 탄소중립 실현과 생태계 보전에 앞장서고 있습니다. 에너지 경영 측면에서는 고효율 설비와 제품, 서비스의 도입을 우선적으로 검토하는 원칙을 적용하고 있습니다. 공정이나 설비를 신설하거나 변경하는 과정에서 에너지 효율 향상 요소를 적극적으로 반영함으로써 책임 있는 에너지 경영을 실천하고 있습니다. 이와 더불어 에너지 사용과 소비를 체계적으로 관리하여 에너지 효율 향상과 사용 최적화를 지속적으로 추진하고 있습니다. 구체적인 이행 관리를 위해 에너지 절감량, 비용 절감액, 온실가스 감축 효과를 관리함으로써 전사적인 자원 효율성을 제고하고 기후변화 대응 역량을 강화하고 있습니다. 이러한 체계적인 에너지 관리와 사용 최적화 활동을 통해 온실가스 배출을 줄이고 지속 가능한 경영 기반을 공고히 하고 있습니다.</t>
  </si>
  <si>
    <t>대웅제약은 친환경 원자재 사용 확대, 온실가스 저감, 오염 예방 및 자원순환 활동 활성화를 통해 탄소중립 실현과 환경영향 최소화를 추진하고 있습니다. 이를 위해 친환경 기술혁신과 공정 개선을 통해 제품 전 과정의 환경영향을 최소화하며, 에너지 사용 및 소비의 체계적 관리와 고효율 설비 도입, 공정 운영 최적화를 통한 에너지 효율 향상을 지속적으로 추진하고 있습니다.</t>
  </si>
  <si>
    <t>EBX-Q-029</t>
  </si>
  <si>
    <t>환경 / 거버넌스 (Governance) / 기후변화 대응 조직 및 관리 체계</t>
  </si>
  <si>
    <t>기후행동 / 기후변화 대응 조직 및 관리 체계</t>
  </si>
  <si>
    <t>대웅제약은 기후변화 대응과 환경영향 최소화를 위해 이사회, ESG위원회, 대웅그룹 EHS 경영위원회, EHS 간사협의체로 구성된 환경경영 거버넌스를 운영하고 있습니다. ESG위원회는 전사 ESG 전략과 기후변화 및 탄소배출 등 주요 지속가능경영 이슈를 검토하고 심의하는 역할을 수행합니다. 이와 함께 대웅그룹 EHS 경영위원회는 환경·안전·보건(EHS) 분야의 정책과 목표 및 실행과제를 수립하며, 이에 대한 이행 현황을 점검함으로써 기후변화 대응 체계를 관리하고 있습니다.</t>
  </si>
  <si>
    <t>검토 중인 제안 자료상 ESG위원회는 전사 ESG 전략과 기후변화 및 탄소배출 등 주요 지속가능경영 이슈를 검토하고 심의하는 역할을 수행합니다. 또한, 대웅그룹 EHS 경영위원회는 환경 안전 보건(EHS) 분야의 정책, 목표 및 실행과제를 수립하고 이행 현황을 점검하고 있습니다.</t>
  </si>
  <si>
    <t>EBX-Q-030</t>
  </si>
  <si>
    <t>환경 / 위험 관리 (Risk Management) / 기후 리스크 및 기회 관리</t>
  </si>
  <si>
    <t>기후행동 / 기후 리스크 및 기회 관리</t>
  </si>
  <si>
    <t>기후 리스크 및 기회 요인을 물리적 리스크(급성, 만성), 전환 리스크(정책 및 법률, 기술, 시장, 평판), 기회(자원 효율성, 에너지원, 제품 서비스, 시장, 회복탄력성)로 유형화하였으며, 각 요인이 사업 운영과 가치사슬에 미치는 영향을 검토하여 대응 방향과 관리 지표를 연계해 운영하고 있습니다. 특히 기후대응 공시 및 성과 요구 확대에 따른 온실가스 배출량 관리, 감축 성과 달성, 에너지 효율 개선 및 신재생 설비 도입을 위한 투자 부담 증가를 주요 전환 리스크로 식별하였습니다. 리스크 대응 실행력을 강화하기 위해 환경규제, 탄소가격, 공시 요구와 더불어 극한기상 및 평균기온 상승 등 주요 요인에 대한 배출량, 에너지 사용량, 검증 수준, 피해 현황을 지속적으로 모니터링하고 있습니다. 동시에 기후변화 대응을 통한 사업적 기회 창출에도 집중하고 있습니다. 친환경 포장, 저탄소 제조 및 환경영향 저감형 제품에 대한 고객과 공공조달 수요 확대에 대응하여 저탄소 의약품 시장을 확대하고 있으며, 이중소싱과 백업 제조시설 확보, 원료 조달처 다변화를 통해 기후 및 지정학적 요인으로 인한 공급 차질 리스크를 완화하고 사업의 회복탄력성을 강화하고 있습니다.</t>
  </si>
  <si>
    <t>환경규제, 탄소가격, 공시 요구, 극한기상, 평균기온 상승 등 주요 요인에 대해 배출량, 에너지 사용량, 검증 수준, 피해 현황 등을 모니터링하며 기후 리스크 대응 실행력을 강화하고 있습니다.</t>
  </si>
  <si>
    <t>Answer: passed / Consumer Decision: answered_partial / QA Grade: partial / Publication: review_required / Publication Reason: missing_expected_facets / Coverage: missing_expected_facets / RAG Coverage: partial / Answerable: True / Evidence: thin_but_usable</t>
  </si>
  <si>
    <t>EBX-Q-031</t>
  </si>
  <si>
    <t>환경 / 지표 (Metrics) / 온실가스 배출량 및 에너지 사용 현황</t>
  </si>
  <si>
    <t>기후행동 / 온실가스 배출량 및 에너지 사용 현황</t>
  </si>
  <si>
    <t>대웅제약은 사업장 내 에너지 사용 효율을 높이고 온실가스 배출량을 체계적으로 관리하여 기후변화 대응 역량을 강화하고 있습니다. 2025년 기준 총 온실가스 배출량(Scope 1+2)은 44,144.431tCO2e를 기록하였으며, 이 중 직접배출(Scope 1)인 LNG 등은 12,771.822tCO2e, 간접배출(Scope 2)인 전력 사용으로 인한 배출량은 31,372.609tCO2e로 집계되었습니다. 에너지 사용 현황을 살펴보면, 2025년 총 에너지 사용량은 916,158.011GJ로 전년 대비 증가하는 추세를 보이고 있습니다. 세부적으로는 간접에너지인 전력이 664,073.68GJ로 가장 큰 비중을 차지하며, 직접에너지인 LNG 사용량은 251,731.763GJ, 경유는 352.568GJ를 사용하였습니다. 매출액 대비 에너지 사용 원단위는 65.863GJ/억원으로 관리되고 있습니다. 에너지 효율 개선을 위한 저감 활동을 통해 실질적인 탄소 배출 감소를 추진하고 있습니다. 2025년 기준 에너지 절감량은 38,352.29GJ를 달성하였으며, 이를 통한 탄소배출 저감량은 1,908.486tCO2e로 확인됩니다. 특히 향남공장에서는 대기방지시설 개선과 고온연수기 정비 등의 설비 최적화를 통해 에너지 소비를 줄이고 배출량을 낮추는 성과를 거두었습니다.</t>
  </si>
  <si>
    <t>EBX-Q-032</t>
  </si>
  <si>
    <t>환경 / 전략 (Strategy) / 자원순환 및 폐기물 관리 정책</t>
  </si>
  <si>
    <t>자원선순환 / 자원순환 및 폐기물 관리 정책</t>
  </si>
  <si>
    <t>대웅제약은 환경영향 최소화와 자원순환 확대를 목표로 폐기물 관리 및 감축 활동을 지속적으로 추진하고 있습니다. 사업장에서 발생하는 폐기물을 일반 폐기물과 유해(지정) 폐기물로 구분하여 관리하며, 특히 환경오염 가능성이 높은 유해 폐기물은 관련 법규와 내부 규정에 따라 적법하게 처리하고 있습니다. 자원순환성을 높이기 위해 재활용 가능 폐기물 처리 시 재활용 전문업체를 우선적으로 선정하여 지역사회에 미치는 환경영향을 최소화하고 있습니다. 특히 기존에 소각 처리하던 폐합성수지를 열적 재활용(연료화) 방식으로 전환하여 자원 회수율을 제고하였으며, 이러한 방식을 전 그룹사로 확대 적용하고 있습니다. 실행 과제의 일환으로 생명과학연구소에서는 공기조화기 필터를 일반형에서 리필 가능한 리필형으로 교체하여 프레임을 재사용함으로써 구매 비용 절감과 폐기물 발생량 감축을 실현하고 있습니다. 대웅제약은 사업 확대에 따라 폐기물 발생량이 증가하는 추세임에도 불구하고, 재활용량을 더 큰 폭으로 확대함으로써 전체 폐기물 재활용률을 지속적으로 개선하며 순환경제 실현에 기여하고 있습니다.</t>
  </si>
  <si>
    <t>대웅제약과 협력회사는 공정 개선, 친환경 요소 모색, 원료 대체, 재활용 및 재사용을 통해 자원과 에너지 사용량 및 폐기물 배출량을 원천적으로 줄이기 위해 노력하고 있습니다.</t>
  </si>
  <si>
    <t>EBX-Q-033</t>
  </si>
  <si>
    <t>환경 / 거버넌스 (Governance) / 자원순환 관리 조직 및 체계</t>
  </si>
  <si>
    <t>자원선순환 / 자원순환 관리 조직 및 체계</t>
  </si>
  <si>
    <t>검토 중인 제안 자료상 재활용이 가능한 폐기물은 재활용 전문업체를 우선 선정하여 처리함으로써 자원순환성을 높이고 지역사회 환경영향을 최소화하고 있습니다. 사업장에서 발생하는 폐기물을 일반 폐기물과 유해(지정) 폐기물로 구분하여 관리하고 있으며, 환경오염 가능성이 높은 유해 폐기물은 관련 법규와 내부 규정에 따라 적법하게 처리하고 있습니다. 그 결과 대웅그룹 및 대웅제약의 폐기물 발생량은 사업 확대로 증가하고 있으나 재활용량이 더욱 큰 폭으로 증가하면서 전체 폐기물 재활용률이 지속적으로 개선되고 있습니다.</t>
  </si>
  <si>
    <t>EBX-Q-034</t>
  </si>
  <si>
    <t>환경 / 위험 관리 (Risk Management) / 폐기물 및 자원 리스크 관리</t>
  </si>
  <si>
    <t>자원선순환 / 폐기물 및 자원 리스크 관리</t>
  </si>
  <si>
    <t>대웅제약은 비즈니스 운영과 제품 및 서비스 전 과정에서 발생할 수 있는 부정적인 환경 영향을 정기적으로 식별하고 평가함으로써 자원 및 폐기물 관련 리스크를 체계적으로 관리하고 있습니다. 특히 폐기물 관리 및 자원 재활용을 비롯하여 탄소 배출 저감, 재생에너지 전환, 수자원 관리, 생물다양성 보호 등 환경권 보호를 위한 구체적이고 측정 가능하며 달성 가능한 정책과 목표를 수립하고 이를 지속적으로 모니터링하는 체계를 갖추고 있습니다. 리스크의 선제적 예방과 완화를 위해 사업장 내 환경 리스크를 사전에 파악하고 이에 따른 실질적인 개선 활동을 수행하고 있으며, 투자의사결정 과정에서도 환경적 위험 요소와 기회 요인을 면밀히 검토하여 경영 활동에 반영하고 있습니다. 또한 환경 문제에 대한 예방적 접근 방식을 지지하며, 환경친화적인 기술 개발과 확산을 촉진함으로써 자원 순환 효율성을 높이고 환경 부하를 줄이는 데 주력하고 있습니다. 전사적인 환경 경영 역량을 강화하기 위해 모든 임직원을 대상으로 정기적인 환경 관련 교육을 제공하여 리스크 관리 인식을 제고하고 있습니다. 이와 더불어 아동, 노인, 소수자 등 취약계층의 환경권 존중을 위한 특별한 절차와 보호 조치를 마련하여 운영함으로써 사회적 책임과 환경적 가치를 동시에 실현하고 있습니다.</t>
  </si>
  <si>
    <t>외부 평가 자료상 대웅제약은 비즈니스 운영, 제품 또는 서비스와 관련된 부정적인 환경 영향을 정기적으로 식별하고 평가하고 있습니다. 또한 폐기물 관리 및 자원 재활용 등을 포함하여 환경 및 환경권 보호를 위한 구체적이고 측정 가능하며 달성 가능한 정책과 목표를 수립하고 이를 모니터링하고 있습니다.</t>
  </si>
  <si>
    <t>EBX-Q-035</t>
  </si>
  <si>
    <t>환경 / 지표 (Metrics) / 폐기물 발생 및 재활용 현황</t>
  </si>
  <si>
    <t>자원선순환 / 폐기물 발생 및 재활용 현황</t>
  </si>
  <si>
    <t>대웅제약은 폐기물 감축 및 재활용 활동을 지속적으로 추진하여 자원순환 성과를 제고하고 있습니다. 2025년 기준 대웅제약의 폐기물 재활용량은 2,026.154톤을 기록하였으며, 여기에는 일반폐기물 재활용량 749.0톤과 유해(지정)폐기물 재활용량 803.0톤이 포함됩니다. 특히 전 그룹사 차원에서 기존에 소각 처리하던 폐합성수지를 재활용으로 전환하는 활동을 전개함으로써 전체적인 폐기물 재활용률을 매년 개선하고 있습니다. 자원순환 관리의 정확성을 높이기 위해 보고 적용 범위를 체계적으로 조정하여 운영하고 있습니다. 2022년부터 2023년까지는 대웅제약, 대웅바이오, 한올바이오파마, 대웅인피온 등을 포함하였으나, 2024년부터는 대웅제약과 대웅바이오의 국내 사업장을 적용 범위로 설정하여 폐기물 배출 현황을 보다 정밀하게 관리하고 있습니다. 또한 2022년 집계 시 요금고지서의 청구월 기준이었던 데이터를 실제 사용기간 기준으로 변경하고, 화학물질 재사용에 따른 발생량을 추가로 적용하는 등 데이터 산출 방식을 고도화하여 지표의 신뢰성을 확보하였습니다. 대웅그룹 전체 관점에서도 자원순환 성과가 확대되는 추세입니다. 2025년 기준 그룹 통합 재활용량은 12,016.434586톤을 달성하였습니다. 대웅제약은 폐기물 발생량이 증가하는 상황 속에서도 재활용량을 상대적으로 더 높게 확대함으로써 환경 영향을 최소화하고 자원 효율성을 극대화하는 순환경제 체계를 강화하고 있습니다.</t>
  </si>
  <si>
    <t>생명과학연구소에서는 공기조화기 필터를 리필형으로 교체하여 프레임을 재사용함으로써 구매 비용과 폐기물 발생량을 줄이고 있습니다. 또한, 전 그룹사에서 소각하던 폐합성수지를 재활용함으로써 전체 폐기물 재활용률을 매년 개선하고 있습니다.</t>
  </si>
  <si>
    <t>EBX-Q-036</t>
  </si>
  <si>
    <t>환경 / 전략 (Strategy) / 수자원 관리 정책 및 목표</t>
  </si>
  <si>
    <t>물 관리 / 수자원 관리 정책 및 목표</t>
  </si>
  <si>
    <t>대웅제약은 지속가능한 수자원 사용을 실현하기 위해 수질 보호, 용수 재사용, 물 절약 기술 도입을 포괄하는 전사적인 수자원 관리 체계를 구축하여 운영하고 있습니다. 특히 용수 사용량을 실시간으로 추적하는 체계적인 모니터링 시스템을 통해 용수 사용의 효율성을 높이고 수자원을 전략적으로 관리하고 있습니다. 수자원 효율성 향상과 용수 사용량 절감을 위한 구체적인 실행 방안으로 사업장 내 절수 설비 운영을 강화하고 하수 재이용수 활용 범위를 확대하는 등 환경 영향 저감 활동을 지속적으로 추진하고 있습니다.</t>
  </si>
  <si>
    <t>검토 중인 제안 자료상 용수 사용량을 실시간으로 추적하는 체계적인 모니터링을 통해 효율적으로 수자원을 관리하고 있으며, 용수 사용량 절감과 수자원 효율성 향상을 위해 절수 설비 운영 및 재이용수 활용을 확대하고 있습니다.</t>
  </si>
  <si>
    <t>EBX-Q-037</t>
  </si>
  <si>
    <t>환경 / 거버넌스 (Governance) / 물 관리 조직 및 체계</t>
  </si>
  <si>
    <t>물 관리 / 물 관리 조직 및 체계</t>
  </si>
  <si>
    <t>Answer: empty / Consumer Decision: blocked_api_status / QA Grade: failed / Publication: blocked / Publication Reason: unaccepted_answer_status / Coverage: empty_evidence / RAG Coverage: no_evidence / Answerable: False / Evidence: no_evidence</t>
  </si>
  <si>
    <t>EBX-Q-038</t>
  </si>
  <si>
    <t>환경 / 위험 관리 (Risk Management) / 수자원 및 수질 리스크 관리</t>
  </si>
  <si>
    <t>물 관리 / 수자원 및 수질 리스크 관리</t>
  </si>
  <si>
    <t>대웅제약은 ENCORE 분석을 활용하여 제약·바이오 산업의 특성을 반영한 수자원 및 수질 리스크를 체계적으로 식별하고 관리하고 있습니다. 자연 의존성 평가 결과, 수질 정화에 대한 의존도가 매우 높은 것으로 나타났으며, 특히 물 공급과 수류 조절에 대한 의존도 또한 높게 평가되었습니다. 이는 대웅제약의 핵심 활동인 연구개발과 제조 공정이 안정적인 수자원 공급 및 양호한 수질 상태와 밀접하게 연계되어 있음을 시사합니다. 동시에 자연 영향 평가를 통해 사업 활동이 환경에 미치는 영향을 분석한 결과, 물 사용량뿐만 아니라 수계 및 토양으로 배출되는 유독성 오염물질과 영양염류 배출이 환경에 중간 수준의 영향을 미칠 수 있는 것으로 확인되었습니다. 대웅제약은 이러한 평가 결과를 바탕으로 수자원과 생물자원 관련 의존성을 주요 관리 영역으로 설정하였습니다. 이를 통해 각 사업장별 물 사용 현황을 면밀히 살피고, 원료 조달 과정에서 발생할 수 있는 자연자본 리스크를 지속적으로 검토함으로써 수자원 리스크에 선제적으로 대응하고 수질 영향을 최소화하기 위한 관리 체계를 강화할 계획입니다.</t>
  </si>
  <si>
    <t>검토 중인 제안 자료상 대웅제약은 ENCORE 분석을 통해 제약 바이오 산업이 수질 정화, 물 공급, 수류 조절에 대한 의존도가 높으며, 물 사용량 및 수계로의 유독성 영양염류 오염물질 배출이 중간 수준의 영향을 미칠 수 있음을 확인하였습니다. 이를 바탕으로 수자원과 생물자원 관련 의존성을 주요 관리 영역으로 설정하고, 사업장별 물 사용과 원료 조달 과정에서 발생할 수 있는 자연자본 리스크를 지속적으로 검토할 계획입니다.</t>
  </si>
  <si>
    <t>EBX-Q-039</t>
  </si>
  <si>
    <t>환경 / 지표 (Metrics) / 용수 사용 및 폐수 배출 현황</t>
  </si>
  <si>
    <t>물 관리 / 용수 사용 및 폐수 배출 현황</t>
  </si>
  <si>
    <t>대웅제약은 사업장 내 수자원 효율성을 제고하기 위해 용수 취수 및 사용 현황을 체계적으로 관리하고 있습니다. 2025년 기준 대웅제약의 전체 취수량은 437,102톤을 기록하였으며, 세부적으로는 공업용수 220,217톤과 생활용수 157,598톤을 사용하였습니다. 특히 하수재이용수 사용량을 59,287톤까지 확대하며 수자원 재활용을 통한 환경 부하 저감에 주력하고 있습니다. 용수 재이용률은 2025년 기준 0.1356%로 집계되었으며, 이는 2023년 0.0577%, 2024년 0.1023%에 이어 지속적인 상승 추세를 보이고 있습니다. 매출액 기준 물사용 원단위는 2025년 31.42톤/억원으로, 전년도 31.63톤/억원 대비 소폭 감소하며 효율적인 용수 관리 성과를 나타냈습니다. 한편, 대웅그룹 전체 관점에서의 취수량은 2025년 691,602톤으로 집계되었으며, 이 중 공업용수 459,107톤, 생활용수 166,687톤, 하수재이용수 64,370톤 및 지하수 1,438톤이 포함되었습니다. 대웅제약은 용수 재사용량을 전체 용수 사용량으로 나누어 재이용률을 산출하는 기준을 적용하여 수자원 관리 지표를 투명하게 공개하고 있습니다.</t>
  </si>
  <si>
    <r>
      <rPr>
        <sz val="9"/>
        <rFont val="맑은 고딕"/>
        <family val="3"/>
        <charset val="129"/>
      </rPr>
      <t>2022</t>
    </r>
    <r>
      <rPr>
        <sz val="9"/>
        <rFont val="Noto Sans CJK SC"/>
        <family val="2"/>
      </rPr>
      <t>년 집계 시 요금고지서의 청구월 기준에서 실제 사용기간 기준으로 데이터 산정 방식이 변경되어 사용량의 차이가 발생하였습니다</t>
    </r>
    <r>
      <rPr>
        <sz val="9"/>
        <rFont val="맑은 고딕"/>
        <family val="3"/>
        <charset val="129"/>
      </rPr>
      <t xml:space="preserve">. </t>
    </r>
    <r>
      <rPr>
        <sz val="9"/>
        <rFont val="Noto Sans CJK SC"/>
        <family val="2"/>
      </rPr>
      <t xml:space="preserve">보고서의 적용범위는 </t>
    </r>
    <r>
      <rPr>
        <sz val="9"/>
        <rFont val="맑은 고딕"/>
        <family val="3"/>
        <charset val="129"/>
      </rPr>
      <t>2022</t>
    </r>
    <r>
      <rPr>
        <sz val="9"/>
        <rFont val="Noto Sans CJK SC"/>
        <family val="2"/>
      </rPr>
      <t xml:space="preserve">년부터 </t>
    </r>
    <r>
      <rPr>
        <sz val="9"/>
        <rFont val="맑은 고딕"/>
        <family val="3"/>
        <charset val="129"/>
      </rPr>
      <t>2023</t>
    </r>
    <r>
      <rPr>
        <sz val="9"/>
        <rFont val="Noto Sans CJK SC"/>
        <family val="2"/>
      </rPr>
      <t xml:space="preserve">년까지는 </t>
    </r>
    <r>
      <rPr>
        <sz val="9"/>
        <rFont val="맑은 고딕"/>
        <family val="3"/>
        <charset val="129"/>
      </rPr>
      <t>(</t>
    </r>
    <r>
      <rPr>
        <sz val="9"/>
        <rFont val="Noto Sans CJK SC"/>
        <family val="2"/>
      </rPr>
      <t>주</t>
    </r>
    <r>
      <rPr>
        <sz val="9"/>
        <rFont val="맑은 고딕"/>
        <family val="3"/>
        <charset val="129"/>
      </rPr>
      <t>)</t>
    </r>
    <r>
      <rPr>
        <sz val="9"/>
        <rFont val="Noto Sans CJK SC"/>
        <family val="2"/>
      </rPr>
      <t>대웅제약</t>
    </r>
    <r>
      <rPr>
        <sz val="9"/>
        <rFont val="맑은 고딕"/>
        <family val="3"/>
        <charset val="129"/>
      </rPr>
      <t xml:space="preserve">, </t>
    </r>
    <r>
      <rPr>
        <sz val="9"/>
        <rFont val="Noto Sans CJK SC"/>
        <family val="2"/>
      </rPr>
      <t>대웅바이오</t>
    </r>
    <r>
      <rPr>
        <sz val="9"/>
        <rFont val="맑은 고딕"/>
        <family val="3"/>
        <charset val="129"/>
      </rPr>
      <t>(</t>
    </r>
    <r>
      <rPr>
        <sz val="9"/>
        <rFont val="Noto Sans CJK SC"/>
        <family val="2"/>
      </rPr>
      <t>주</t>
    </r>
    <r>
      <rPr>
        <sz val="9"/>
        <rFont val="맑은 고딕"/>
        <family val="3"/>
        <charset val="129"/>
      </rPr>
      <t xml:space="preserve">), </t>
    </r>
    <r>
      <rPr>
        <sz val="9"/>
        <rFont val="Noto Sans CJK SC"/>
        <family val="2"/>
      </rPr>
      <t>한올바이오파마</t>
    </r>
    <r>
      <rPr>
        <sz val="9"/>
        <rFont val="맑은 고딕"/>
        <family val="3"/>
        <charset val="129"/>
      </rPr>
      <t xml:space="preserve">, </t>
    </r>
    <r>
      <rPr>
        <sz val="9"/>
        <rFont val="Noto Sans CJK SC"/>
        <family val="2"/>
      </rPr>
      <t>대웅인피온 등이 포함되었으나</t>
    </r>
    <r>
      <rPr>
        <sz val="9"/>
        <rFont val="맑은 고딕"/>
        <family val="3"/>
        <charset val="129"/>
      </rPr>
      <t>, 2024</t>
    </r>
    <r>
      <rPr>
        <sz val="9"/>
        <rFont val="Noto Sans CJK SC"/>
        <family val="2"/>
      </rPr>
      <t xml:space="preserve">년부터는 </t>
    </r>
    <r>
      <rPr>
        <sz val="9"/>
        <rFont val="맑은 고딕"/>
        <family val="3"/>
        <charset val="129"/>
      </rPr>
      <t>(</t>
    </r>
    <r>
      <rPr>
        <sz val="9"/>
        <rFont val="Noto Sans CJK SC"/>
        <family val="2"/>
      </rPr>
      <t>주</t>
    </r>
    <r>
      <rPr>
        <sz val="9"/>
        <rFont val="맑은 고딕"/>
        <family val="3"/>
        <charset val="129"/>
      </rPr>
      <t>)</t>
    </r>
    <r>
      <rPr>
        <sz val="9"/>
        <rFont val="Noto Sans CJK SC"/>
        <family val="2"/>
      </rPr>
      <t>대웅제약 국내사업장과 대웅바이오</t>
    </r>
    <r>
      <rPr>
        <sz val="9"/>
        <rFont val="맑은 고딕"/>
        <family val="3"/>
        <charset val="129"/>
      </rPr>
      <t>(</t>
    </r>
    <r>
      <rPr>
        <sz val="9"/>
        <rFont val="Noto Sans CJK SC"/>
        <family val="2"/>
      </rPr>
      <t>주</t>
    </r>
    <r>
      <rPr>
        <sz val="9"/>
        <rFont val="맑은 고딕"/>
        <family val="3"/>
        <charset val="129"/>
      </rPr>
      <t xml:space="preserve">) </t>
    </r>
    <r>
      <rPr>
        <sz val="9"/>
        <rFont val="Noto Sans CJK SC"/>
        <family val="2"/>
      </rPr>
      <t>국내사업장으로 변경되었습니다</t>
    </r>
    <r>
      <rPr>
        <sz val="9"/>
        <rFont val="맑은 고딕"/>
        <family val="3"/>
        <charset val="129"/>
      </rPr>
      <t>.</t>
    </r>
  </si>
  <si>
    <t>Answer: passed / Consumer Decision: answered / QA Grade: full / Publication: published / Publication Reason: complete_grounded_answer / Coverage: complete_grounded_answer / RAG Coverage: partial / Answerable: True / Evidence: medium_confidence</t>
  </si>
  <si>
    <t>EBX-Q-040</t>
  </si>
  <si>
    <t>환경 / 전략 (Strategy) / 생물다양성 보전 정책 및 목표</t>
  </si>
  <si>
    <t>생물다양성 / 생물다양성 보전 정책 및 목표</t>
  </si>
  <si>
    <t>대웅제약은 지속가능한 성장과 환경 보호의 핵심 가치로서 생물다양성 보전의 중요성을 깊이 인식하고, 이를 실현하기 위한 경영활동을 체계적으로 추진하고 있습니다. 중장기적으로는 생물다양성의 저해와 손실이 없는 사업 운영을 지향하며, 기업의 모든 사업 활동 전반에서 자연자본과 생태계에 미치는 부정적 영향을 최소화하는 것을 전략적 목표로 설정하고 있습니다. 이러한 목표를 달성하기 위해 대웅제약은 사업 운영의 전 과정에서 생물다양성에 미치는 영향을 면밀히 검토하고, 도출된 보호방안을 실제 의사결정 과정에 실질적으로 반영하는 관리 체계를 구축하여 운영하고 있습니다. 특히 신규 사업장의 설립이나 기존 설비의 증설과 같이 생물다양성에 직접적인 영향을 미칠 가능성이 있는 사업 활동을 추진할 경우, 해당 사업장 인근 지역의 생태적 특성과 지역사회의 자연환경 조건을 종합적으로 고려하여 최적의 생물다양성 보호방안을 수립하고 실행하고 있습니다. 또한, 대외적으로는 기업과 생물다양성 플랫폼인 BNBP에 적극적으로 참여하여 글로벌 생물다양성 보전 관련 정책 동향과 국제 기준, 그리고 타 기업의 우수사례 등 최신 논의사항을 공유하며 전문성을 강화하고 있습니다. 대웅제약은 BNBP 참여를 통해 축적한 외부의 다양한 논의 결과와 협력 기회를 내부 자연자본 관리 체계에 유기적으로 반영함으로써 관리 수준을 지속적으로 고도화하고 있으며, 앞으로도 사업장 주변의 생태환경을 세심하게 고려한 보호활동을 지속적으로 전개하여 자연자본 보전에 기여할 계획입니다.</t>
  </si>
  <si>
    <t>검토 중인 제안 자료상 대웅제약은 중장기적으로 생물다양성의 저해와 손실이 없는 사업 운영을 지향하며, 사업 활동 전반에서 자연자본과 생태계에 미치는 영향을 최소화하는 것을 목표로 하고 있습니다. 이를 위해 사업 운영 과정에서 생물다양성 영향을 검토하여 의사결정에 반영하고 있으며, 특히 신규 사업장 설립이나 기존 설비 증설 시 인근 지역 및 지역사회의 자연환경 특성을 고려한 보호방안을 마련하고 있습니다. 또한, 기업과 생물다양성 플랫폼인 BNBP에 참여하여 정책 동향 및 국제 기준을 공유함으로써 생물다양성 보전 활동의 실행력을 높이고 이를 자연자본 관리 체계에 반영하고 있습니다.</t>
  </si>
  <si>
    <t>EBX-Q-041</t>
  </si>
  <si>
    <t>환경 / 거버넌스 (Governance) / 생물다양성 관리 조직 및 체계</t>
  </si>
  <si>
    <t>생물다양성 / 생물다양성 관리 조직 및 체계</t>
  </si>
  <si>
    <r>
      <rPr>
        <sz val="9"/>
        <rFont val="맑은 고딕"/>
        <family val="3"/>
        <charset val="129"/>
      </rPr>
      <t xml:space="preserve">EHS </t>
    </r>
    <r>
      <rPr>
        <sz val="9"/>
        <rFont val="Noto Sans CJK SC"/>
        <family val="2"/>
      </rPr>
      <t>위원회는 대웅제약의 생물다양성 관리 및 의사결정을 주도하는 핵심 기구로서</t>
    </r>
    <r>
      <rPr>
        <sz val="9"/>
        <rFont val="맑은 고딕"/>
        <family val="3"/>
        <charset val="129"/>
      </rPr>
      <t xml:space="preserve">, </t>
    </r>
    <r>
      <rPr>
        <sz val="9"/>
        <rFont val="Noto Sans CJK SC"/>
        <family val="2"/>
      </rPr>
      <t>전사 환경안전 관리 체계 내에서 관련 이슈를 검토하고 있습니다</t>
    </r>
    <r>
      <rPr>
        <sz val="9"/>
        <rFont val="맑은 고딕"/>
        <family val="3"/>
        <charset val="129"/>
      </rPr>
      <t xml:space="preserve">. </t>
    </r>
    <r>
      <rPr>
        <sz val="9"/>
        <rFont val="Noto Sans CJK SC"/>
        <family val="2"/>
      </rPr>
      <t xml:space="preserve">상반기 </t>
    </r>
    <r>
      <rPr>
        <sz val="9"/>
        <rFont val="맑은 고딕"/>
        <family val="3"/>
        <charset val="129"/>
      </rPr>
      <t xml:space="preserve">EHS </t>
    </r>
    <r>
      <rPr>
        <sz val="9"/>
        <rFont val="Noto Sans CJK SC"/>
        <family val="2"/>
      </rPr>
      <t>위원회는 전년도 생물다양성 정책 논의 내용을 이사회에 보고하여 경영진의 감독을 강화하였으며</t>
    </r>
    <r>
      <rPr>
        <sz val="9"/>
        <rFont val="맑은 고딕"/>
        <family val="3"/>
        <charset val="129"/>
      </rPr>
      <t xml:space="preserve">, </t>
    </r>
    <r>
      <rPr>
        <sz val="9"/>
        <rFont val="Noto Sans CJK SC"/>
        <family val="2"/>
      </rPr>
      <t>하반기에는 정기적인 생물다양성 보호활동 계획을 수립하여 실행력을 확보하였습니다</t>
    </r>
    <r>
      <rPr>
        <sz val="9"/>
        <rFont val="맑은 고딕"/>
        <family val="3"/>
        <charset val="129"/>
      </rPr>
      <t xml:space="preserve">. </t>
    </r>
    <r>
      <rPr>
        <sz val="9"/>
        <rFont val="Noto Sans CJK SC"/>
        <family val="2"/>
      </rPr>
      <t>실무 차원에서는 각 사업장이 자연자본 현황</t>
    </r>
    <r>
      <rPr>
        <sz val="9"/>
        <rFont val="맑은 고딕"/>
        <family val="3"/>
        <charset val="129"/>
      </rPr>
      <t xml:space="preserve">, </t>
    </r>
    <r>
      <rPr>
        <sz val="9"/>
        <rFont val="Noto Sans CJK SC"/>
        <family val="2"/>
      </rPr>
      <t>생물다양성 평가 결과</t>
    </r>
    <r>
      <rPr>
        <sz val="9"/>
        <rFont val="맑은 고딕"/>
        <family val="3"/>
        <charset val="129"/>
      </rPr>
      <t xml:space="preserve">, </t>
    </r>
    <r>
      <rPr>
        <sz val="9"/>
        <rFont val="Noto Sans CJK SC"/>
        <family val="2"/>
      </rPr>
      <t>보호활동 이행 현황 등의 데이터를 취합하고</t>
    </r>
    <r>
      <rPr>
        <sz val="9"/>
        <rFont val="맑은 고딕"/>
        <family val="3"/>
        <charset val="129"/>
      </rPr>
      <t xml:space="preserve">, EHS </t>
    </r>
    <r>
      <rPr>
        <sz val="9"/>
        <rFont val="Noto Sans CJK SC"/>
        <family val="2"/>
      </rPr>
      <t>실무협의체가 이를 바탕으로 자연 의존성과 영향 및 리스크를 검토하여 개선 필요사항을 도출하는 체계를 운영하고 있습니다</t>
    </r>
    <r>
      <rPr>
        <sz val="9"/>
        <rFont val="맑은 고딕"/>
        <family val="3"/>
        <charset val="129"/>
      </rPr>
      <t xml:space="preserve">. </t>
    </r>
    <r>
      <rPr>
        <sz val="9"/>
        <rFont val="Noto Sans CJK SC"/>
        <family val="2"/>
      </rPr>
      <t>대웅제약은 이러한 조직적 구조를 통해 생물다양성 정책과 보호활동이 경영 의사결정 체계 내에서 유기적으로 논의되고 실행될 수 있는 관리 기반을 구축하였습니다</t>
    </r>
    <r>
      <rPr>
        <sz val="9"/>
        <rFont val="맑은 고딕"/>
        <family val="3"/>
        <charset val="129"/>
      </rPr>
      <t>.</t>
    </r>
  </si>
  <si>
    <t>검토 중인 제안 자료상 대웅제약은 전사 환경안전 관리 체계 내에서 생물다양성 관련 이슈를 검토하고 있습니다. EHS 위원회는 생물다양성 정책 논의 내용을 이사회에 보고하고 정기적인 생물다양성 보호활동 계획을 수립함으로써, 관련 정책과 활동이 경영 의사결정 체계 내에서 논의되고 실행될 수 있는 관리 기반을 구축하였습니다.</t>
  </si>
  <si>
    <t>EBX-Q-042</t>
  </si>
  <si>
    <t>환경 / 위험 관리 (Risk Management) / 생물다양성 영향 및 리스크 관리</t>
  </si>
  <si>
    <t>생물다양성 / 생물다양성 영향 및 리스크 관리</t>
  </si>
  <si>
    <t>대웅제약은 자연자본과 생물다양성에 관한 의존성, 영향 및 리스크를 체계적으로 식별하기 위해 TNFD의 LEAP 접근법을 참고한 평가 절차를 수립하여 운영하고 있습니다. 제약·바이오 산업의 특성을 고려하여 R&amp;D, 원료 조달, 제조, 포장, 유통, 제품 사용 및 폐의약품 처리 등 가치사슬 전반에서 자연과의 접점을 검토하며, 특히 국내 주요 사업장을 중심으로 관리 우선순위를 도출하고 있습니다. 리스크 식별 및 평가를 위해 Locate, Evaluate, Assess, Prepare의 단계적 프로세스를 적용합니다. 우선 사업장 위치 정보를 기반으로 IBAT를 활용하여 인근 보호지역, 생물다양성 중요지역, 주요 종 분포지역 및 물 스트레스 지역과의 연계 가능성을 확인하고 주변 생태계에 미칠 수 있는 잠재적 영향을 분석합니다. 이어 ENCORE를 통해 생태계 서비스에 대한 의존성과 영향을 검토하며, WWF BRF와 WRI Water Risk를 기반으로 리스크 평가를 수행합니다. 이러한 분석 과정을 통해 생물다양성 관련 잠재 리스크를 식별하고 우선 관리가 필요한 지역과 활동을 파악하고 있습니다. 최종적으로 SBTN AR3T Framework를 기반으로 대응 방향과 관리 계획을 수립함으로써 사업 활동이 자연자본에 미치는 영향을 최소화하고 생태계 리스크를 체계적으로 관리하고 있습니다.</t>
  </si>
  <si>
    <t>검토 중인 제안 자료상 대웅제약은 TNFD의 LEAP 접근법을 참고하여 자연자본과 생물다양성 관련 의존성, 영향, 리스크를 체계적으로 식별하기 위한 평가 절차를 수립하였습니다. R&amp;D, 원료 조달, 제조, 포장, 유통, 제품 사용 및 폐의약품 처리 등 가치사슬 전반에서 자연과의 접점을 검토하며, IBAT를 활용해 사업장 인근 보호지역, 생물다양성 중요지역, 주요 종 분포지역, 물 스트레스 지역과의 연계 가능성을 분석하여 잠재 리스크를 식별합니다. 또한 ENCORE 기반의 생태계 서비스 의존성 및 영향 검토, WWF BRF와 WRI Water Risk 기반의 리스크 평가를 수행하며, 분석 결과를 바탕으로 SBTN AR3T Framework에 따라 대응 방향과 관리 계획을 체계화하고 있습니다.</t>
  </si>
  <si>
    <t>EBX-Q-043</t>
  </si>
  <si>
    <t>환경 / 지표 (Metrics) / 생물다양성 보전 활동 현황</t>
  </si>
  <si>
    <t>생물다양성 / 생물다양성 보전 활동 현황</t>
  </si>
  <si>
    <t>대웅제약은 중장기적으로 생물다양성의 저해와 손실이 없는 사업 운영을 지향하며, 모든 사업 활동 전반에서 자연자본과 생태계에 미치는 영향을 최소화하는 것을 목표로 하고 있습니다. 이를 위해 사업 운영 과정에서 생물다양성에 미치는 영향을 면밀히 검토하고, 도출된 보호방안을 실제 의사결정 과정에 반영하여 관리하고 있습니다. 특히 신규 사업장 설립이나 기존 설비 증설과 같이 생물다양성에 직접적인 영향을 미칠 수 있는 사업 활동을 추진할 때는 사업장 인근 지역 및 지역사회의 자연환경 특성을 종합적으로 고려하여 최적의 보호방안을 마련하고 있습니다. 또한 기업과 생물다양성 플랫폼인 BNBP에 참여하여 생물다양성 보전 관련 정책 동향과 국제 기준, 기업 우수사례 등을 공유하며 대외적인 협력 체계를 구축하고 있습니다. 대웅제약은 BNBP 참여를 통해 축적한 외부 논의와 협력 기회를 내부 자연자본 관리 체계에 적극적으로 반영하고, 사업장 주변의 생태환경을 고려한 보호활동을 지속적으로 추진할 계획입니다.</t>
  </si>
  <si>
    <t>EBX-Q-044</t>
  </si>
  <si>
    <t>환경 / 전략 (Strategy) / 오염물질 및 배출 관리 정책</t>
  </si>
  <si>
    <t>오염 및 배출 관리 / 오염물질 및 배출 관리 정책</t>
  </si>
  <si>
    <t>대웅제약은 ENCORE 분석을 통한 자연 영향 평가를 실시하여 제약·바이오 산업이 대기오염물질 배출, 온실가스 배출, 고형폐기물 발생 및 배출, 수계와 토양으로의 유독성 오염물질 및 영양염류 배출, 소음과 빛 등 교란 요인, 물 사용량 측면에서 중간 수준의 영향을 미칠 수 있음을 확인하였습니다. 이러한 분석 결과를 바탕으로 제조 및 연구개발 과정에서 발생하는 물 사용, 폐수, 폐기물, 화학물질, 대기오염물질을 기업의 주요 자연 영향 요인으로 인식하고 이를 체계적으로 관리하는 정책을 추진하고 있습니다. 대기오염물질 관리의 경우, 모든 배출 항목을 법적 허용기준 이내로 꾸준하게 관리하고 있습니다. 특히 배출총량 중 증가세를 보인 질소산화물에 대해서는 2023년 별도의 개선계획을 수립하였으며, 이를 바탕으로 배출 저감을 위한 실행 과제들을 추진하고 있습니다. 수질오염물질 또한 법적 허용기준을 엄격히 준수하며 관리하고 있으며, 2021년부터 배출총량이 개선되는 추세를 보였으며 2023년에도 매출 대비 배출량 수준을 안정적으로 유지하는 성과를 거두었습니다. 향후 대웅제약은 각 사업장에서 발생하는 환경 데이터를 정밀하게 분석하여 자연 영향의 발생 원인과 규모를 구체적으로 파악할 예정입니다. 이를 통해 수자원 효율화, 폐수 및 오염물질 관리, 폐기물 저감 등 자연자본에 미치는 부정적 영향을 최소화하기 위한 완화 활동을 더욱 강화함으로써 환경 책임 경영을 실현해 나갈 계획입니다.</t>
  </si>
  <si>
    <t>대웅제약은 대기 및 수질 오염물질을 법적 허용기준 이내로 관리하고 있습니다. 대기 오염물질의 경우, 질소산화물(NOx) 증가에 따라 2023년 개선계획을 수립하여 실행할 예정이며, 수질 오염물질 배출량은 2021년부터 개선되어 2023년에도 매출 대비 배출 수준을 유지하고 있습니다. 검토 중인 제안 자료상 또한, 제조 및 연구개발 과정에서 발생하는 폐수, 화학물질, 대기오염물질을 주요 자연 영향 요인으로 인식하고 있으며, 향후 사업장별 환경 데이터를 기반으로 오염물질 관리 등 자연자본 영향 완화 활동을 강화할 계획입니다.</t>
  </si>
  <si>
    <t>Answer: passed / Consumer Decision: answered_partial / QA Grade: cautious / Publication: review_required / Publication Reason: draft_evidence / Coverage: draft_evidence / RAG Coverage: partial / Answerable: True / Evidence: medium_confidence</t>
  </si>
  <si>
    <t>EBX-Q-045</t>
  </si>
  <si>
    <t>환경 / 거버넌스 (Governance) / 오염 배출 관리 조직 및 체계</t>
  </si>
  <si>
    <t>오염 및 배출 관리 / 오염 배출 관리 조직 및 체계</t>
  </si>
  <si>
    <t>대웅제약은 탄소배출량 및 오염물질 저감, 안전사고 예방 등의 경영활동을 통해 기후변화에 적극적으로 대응하고 있습니다. 이를 통해 안전하고 쾌적한 근로환경을 조성함으로써 신뢰받는 환경 안전보건 경영을 실현하고자 합니다.</t>
  </si>
  <si>
    <t>검토 중인 제안 자료상 (주)대웅은 ESG 위원회를 신설하여 환경, 사회, 지배구조의 세 가지 축으로 대표 담당자를 지정해 대응하고 있으며, 환경 분야에서는 기후변화, 탄소배출 및 환경오염 관리를 담당하고 있습니다.</t>
  </si>
  <si>
    <t>EBX-Q-046</t>
  </si>
  <si>
    <t>환경 / 위험 관리 (Risk Management) / 오염물질 배출 리스크 관리</t>
  </si>
  <si>
    <t>오염 및 배출 관리 / 오염물질 배출 리스크 관리</t>
  </si>
  <si>
    <t>대웅제약은 환경 법령 및 배출·오염물질 관리 기준이 강화됨에 따라 제조시설의 환경관리 수준을 제고해야 하는 정책 및 법률적 전환리스크를 주요 위험 요인으로 식별하여 관리하고 있습니다. 이러한 리스크에 대응하기 위해 2024년부터는 대웅제약과 대웅바이오의 국내사업장을 적용 범위로 설정하여 오염물질 배출 리스크를 보다 집중적으로 관리하는 체계를 운영하고 있습니다. 대기 오염물질 관리 측면에서는 모든 배출 항목을 법적 허용기준 이내로 꾸준하게 유지하며 리스크를 통제하고 있습니다. 특히 배출총량 분석 과정에서 질소산화물의 증가 추세를 확인하였으며, 이를 완화하기 위해 2023년 별도의 개선계획을 수립하고 실행함으로써 대기 환경 영향 최소화를 위한 실질적인 조치를 추진하고 있습니다. 수질 오염물질 또한 법적 허용기준을 엄격히 준수하며 안정적으로 관리하고 있습니다. 수질 배출총량의 경우 2021년부터 지속적인 개선 흐름을 보이고 있으며, 이러한 관리 성과를 바탕으로 2023년에도 매출 대비 배출량 수준을 적정하게 유지하며 수질 오염 리스크를 효과적으로 제어하고 있습니다. 이를 통해 대웅제약은 강화되는 환경 규제 환경 속에서도 대기 및 수질 오염물질 배출 리스크를 체계적으로 관리하며 환경 영향을 최소화하는 데 주력하고 있습니다.</t>
  </si>
  <si>
    <t>대웅은 대기 및 수질 오염물질을 법적 허용기준 이내로 관리하고 있습니다. 대기 오염물질의 경우, 질소산화물(NOx) 배출량 증가에 따라 2023년 개선계획을 수립하여 실행하고 있으며, 수질 오염물질 배출총량은 2021년부터 개선되어 2023년에도 매출 대비 배출량을 유지하고 있습니다.</t>
  </si>
  <si>
    <t>EBX-Q-047</t>
  </si>
  <si>
    <t>환경 / 지표 (Metrics) / 오염물질 배출량 현황</t>
  </si>
  <si>
    <t>오염 및 배출 관리 / 오염물질 배출량 현황</t>
  </si>
  <si>
    <t>대웅제약은 대기 및 수질 오염물질 배출량을 법적 허용기준 이내로 유지하며 환경 영향을 최소화하기 위한 관리 체계를 운영하고 있습니다. 대기오염물질의 경우, 2025년 기준 질소산화물(NOx) 4.17565톤, 황산화물(SOx) 0.006톤, 먼지 0.738000464톤을 배출하였으며, 배출 원단위는 0.3536772439971244kg/억원으로 집계되었습니다. 특히 배출 총량 중 질소산화물의 증가 추세가 확인됨에 따라, 이를 집중적으로 관리하기 위해 2023년 개선계획을 수립하고 실행하는 등 저감 조치를 추진하고 있습니다. 수질오염물질 또한 엄격한 모니터링을 통해 관리하고 있으며, 2025년 기준 BOD 0.83톤, SS 0.566톤, T-N 3.21톤, T-P 0.029톤, TOC 2.305톤의 배출 실적을 기록하였습니다. 특히 화학적 산소요구량(COD)은 2024년에 이어 2025년에도 0.0톤을 기록하며 효율적인 수질 관리 상태를 유지하고 있습니다. 대웅제약은 이와 같이 대기 및 수질 오염물질의 배출 현황을 정밀하게 측정하고, 물질별 배출 특성에 기반한 개선 활동을 지속함으로써 환경에 미치는 영향을 낮추는 데 주력하고 있습니다.</t>
  </si>
  <si>
    <t>대기 및 수질오염물질은 법적 허용기준 이내로 관리되고 있습니다. 대기오염물질의 경우 질소산화물(NOx) 증가로 인해 2023년 개선계획을 수립하여 실행 중이며, 대웅제약 향남공장과 오송공장의 NOx 발생량 산정방법이 농도에서 연료 사용량으로 변경되어 배출량 차이가 발생하였습니다. 또한, 2024년부터 보고서 적용범위가 (주)대웅제약 및 대웅바이오(주)의 국내사업장으로 변경되었습니다.</t>
  </si>
  <si>
    <t>EBX-Q-048</t>
  </si>
  <si>
    <t>환경 / 전략 (Strategy) / 친환경 제품 개발 정책 및 목표</t>
  </si>
  <si>
    <t>친환경 제품 / 친환경 제품 개발 정책 및 목표</t>
  </si>
  <si>
    <t>대웅제약은 환경보호와 보전에 대한 사회적 책임을 이행하기 위해 친환경 요소를 반영한 녹색구매정책을 수립하여 운영하고 있습니다. 본 정책은 전 사업장을 대상으로 하며, 생산 목적의 원·부자재 구매뿐만 아니라 일반 비품 및 소모성 자재 구매 업무까지 폭넓게 적용됩니다. 특히 제약업의 특성을 고려하여 원료 조달과 연구개발 등 생산 전 과정에서 필수적인 안정성을 확보하는 동시에 친환경성을 함께 고려한 구매 기준을 설정하여 적용하고 있습니다. 친환경 사업 모델 구축을 위해 협력사와 긴밀한 협력 체계를 가동하고 있으며, 친환경 자재의 공동 개발 및 도입을 추진하고 있습니다. 협력사가 제안하는 친환경 자재 아이디어와 적용 방안을 적극적으로 검토하며, 이러한 적극성을 보인 협력사를 핵심 협력업체로 분류하여 공동 기술 개발 및 지원 체계를 통해 관리합니다. 또한 공급망 전반에 친환경성과 지속가능성이 확산될 수 있도록 협력업체의 안정적인 녹색제품 공급을 지원하는 방안을 검토하고 있습니다. 단계별 이행 로드맵에 따라 2022년에는 박스테이프와 아이스팩 등 소모성 자재를 친환경 소재로 변경하였으며, 2023년에는 정부 및 식약처와 연동한 e-label 도입과 친환경 설명서 적용을 추진하였습니다. 2024년에는 케이스와 박스의 친환경 소재 전환, 종이 사용량 감소 및 과포장 최소화 방안을 적용하고 있으며, 2025년에는 친환경 소재 용기 개발과 용적률 최소화를 통한 용기 축소를 추진할 계획입니다.</t>
  </si>
  <si>
    <t>대웅제약은 환경보호와 보전에 대한 사회적 책임을 수행하기 위해 친환경 요소를 반영한 녹색구매정책을 수립하여 전 사업장의 원 부자재 및 비품 구매에 적용하고 있습니다. 협력업체와 긴밀히 협력하여 친환경 자재의 공동 개발 및 도입을 추진하며 친환경 사업 모델을 구축하고 있습니다. 검토 중인 제안 자료상 구체적인 실행 계획으로 2022년 박스테이프와 아이스팩, 2023년 설명서와 라벨, 2024년 케이스와 박스의 친환경 소재 변경 및 과포장 최소화를 진행하였으며, 2025년에는 친환경 소재 용기 개발 및 용적률 최소화 등을 추진할 계획입니다.</t>
  </si>
  <si>
    <t>EBX-Q-049</t>
  </si>
  <si>
    <t>환경 / 거버넌스 (Governance) / 친환경 제품 관리 조직 및 체계</t>
  </si>
  <si>
    <t>친환경 제품 / 친환경 제품 관리 조직 및 체계</t>
  </si>
  <si>
    <t>대웅제약은 EHS 간사 협의체를 통해 친환경 제품 및 공급망 관리를 수행하고 있습니다. SCM팀은 원자재와 제품의 입고 및 출하 관리와 더불어 친환경 공급자 관리, 협력사 선정 및 관리를 담당하며, 구매팀은 녹색구매 및 지원관리를 수행합니다. 또한 환경간사가 환경 분야별 지표 관리 및 환경전략 수립을 담당하여 체계적인 환경 경영을 지원하고 있습니다.</t>
  </si>
  <si>
    <t>EBX-Q-050</t>
  </si>
  <si>
    <t>환경 / 위험 관리 (Risk Management) / 친환경 제품 관련 리스크 관리</t>
  </si>
  <si>
    <t>친환경 제품 / 친환경 제품 관련 리스크 관리</t>
  </si>
  <si>
    <t>대웅제약은 시장과 고객의 환경성 요구 확대에 따른 전환 리스크를 관리하기 위해 제품 및 포장재의 환경성 검토를 강화하고 있습니다. 특히 포장재 감량, 재활용성 개선, 친환경 소재 적용을 검토하며, 제품 회수 및 폐기물 처리 절차를 정비하여 대응 체계를 구축하고 있습니다. 또한 기술적 전환 리스크의 일환으로 친환경 약물소재 개발 경쟁과 저탄소 제형 및 환경영향 저감형 의약품 개발 요구 확대에 주목하고 있습니다. 이와 함께 병원, 공공기관 및 글로벌 고객사의 저탄소 제조와 친환경 포장, 공급망 배출 관리에 대한 요구 증가를 주요 리스크 요인으로 식별하여 관리하고 있습니다. 리스크 관리의 실효성을 높이기 위해 친환경 포장재 및 원부자재 전환에 따른 재료비 증가 가능성을 분석하고 있으며, 포장재료의 장부금액과 친환경 포장재 전환율 등을 고려하여 잠재적인 재무 노출액을 산정하는 등 체계적인 리스크 평가를 수행하고 있습니다.</t>
  </si>
  <si>
    <t>대웅제약은 제품 및 포장재의 환경성 요구 확대에 따른 전환 리스크에 대응하기 위해 제품과 포장재의 환경성 검토를 강화하고 있습니다. 구체적으로 포장재 감량, 재활용성 개선, 친환경 소재 적용을 검토하며, 스펀지 및 플라스틱류 완충 포장재 제거 등의 활동을 추진하고 있습니다. 또한 제품 회수 및 폐기물 처리 절차를 정비하여 시장과 고객의 환경성 요구에 대응하고 있으며, 중장기적으로는 친환경 소재, 저탄소 제형, 환경영향 저감형 의약품 개발 요구 확대에 따른 기술적 전환 리스크를 관리하고 있습니다.</t>
  </si>
  <si>
    <t>Answer: passed / Consumer Decision: answered_partial / QA Grade: full / Publication: review_required / Publication Reason: human_review_required / Coverage: complete_grounded_answer / RAG Coverage: partial / Answerable: True / Evidence: thin_but_usable</t>
  </si>
  <si>
    <t>EBX-Q-051</t>
  </si>
  <si>
    <t>환경 / 지표 (Metrics) / 친환경 제품 개발 및 인증 현황</t>
  </si>
  <si>
    <t>친환경 제품 / 친환경 제품 개발 및 인증 현황</t>
  </si>
  <si>
    <t>대웅제약은 협력 업체와 긴밀한 협력 체계를 구축하여 친환경 자재의 공동 개발 및 도입을 추진하며 친환경 사업 모델을 구현하고 있습니다. 특히 친환경 자재에 대한 아이디어와 적용 방안을 제안하는 협력회사를 핵심 협력업체로 분류하여 관리하고 있으며, 공동 기술 개발 및 지원 체계를 통해 실행력을 높이고 있습니다. 자재별 친환경 전환은 단계별 로드맵에 따라 체계적으로 진행하고 있습니다. 2022년에는 박스테이프와 아이스팩 등 소모성 자재를 친환경 소재로 변경하였으며, 2023년에는 정부 및 식약처와 연동한 e-label 도입과 친환경 설명서 적용을 추진하였습니다. 2024년에는 케이스와 박스의 친환경 소재 전환, 종이 사용량 감소 및 과포장 최소화 방안을 적용하고 있으며, 2025년에는 친환경 소재 용기 개발과 용적률 최소화를 통한 용기 축소를 추진할 계획입니다.</t>
  </si>
  <si>
    <t>Answer: failed / Consumer Decision: blocked_qa / QA Grade: failed / Publication: blocked / Publication Reason: qa_not_passed / Coverage: writer_empty / RAG Coverage: partial / Answerable: True / Evidence: medium_confidence</t>
  </si>
  <si>
    <t>EBX-Q-052</t>
  </si>
  <si>
    <t>환경 / 전략 (Strategy) / 제품 환경 책임 정책 및 목표</t>
  </si>
  <si>
    <t>제품 책임 / 제품 환경 책임 정책 및 목표</t>
  </si>
  <si>
    <t>대웅제약은 환경경영 방침과 조직, 책임 및 절차를 체계적으로 구축하여 전사적인 환경경영체계를 수립하고 유지하고 있습니다. 특히 환경 관련 데이터를 체계적으로 수집하고 분석하여 이를 경영 의사결정에 실질적으로 활용하는 평가 체계를 운영함으로써 데이터 기반의 환경 관리를 실현하고 있습니다. 제품의 전 과정에서 환경적 책임을 이행하기 위해 수립된 환경 정책은 회사의 전 사업장에 적용되며, 그 범위는 생산 목적의 원·부자재 구매부터 일반 비품 및 소모성 자재 구매 업무까지 포괄적으로 적용됩니다. 모든 임직원은 녹색제품 구매 실천을 기본 원칙으로 삼아, 제품의 도입 및 조달 단계에서부터 환경 영향을 최소화하기 위한 노력을 기울이고 있습니다. 또한, 지속 가능한 환경 성과를 창출하기 위해 환경성과 중장기 목표를 지속적으로 논의하고 수정하며 전략적 방향성을 정교화하고 있습니다. 특히 대웅그룹 차원에서 재활용률 향상을 저해하는 방해 요인을 재분석하는 등 실질적인 개선 방안을 모색하고 있으며, 폐기물 재활용량 관리 대응방안을 마련하여 제품의 사용 후 폐기 단계까지 아우르는 전 과정의 환경 책임 경영을 강화하고 있습니다.</t>
  </si>
  <si>
    <t>원료 조달, 연구개발, 제조 등 생산에 필요한 원 부자재 구매 시 품질과 안정성을 확보하는 동시에 친환경성을 고려하며, 일반 비품 및 소모성 자재 구매 시에도 녹색제품 구매를 실천하고 항목을 지속적으로 관리하는 것을 기본 원칙으로 하고 있습니다.</t>
  </si>
  <si>
    <t>Answer: passed / Consumer Decision: answered_partial / QA Grade: partial / Publication: review_required / Publication Reason: missing_expected_facets / Coverage: missing_expected_facets / RAG Coverage: complete / Answerable: True / Evidence: medium_confidence</t>
  </si>
  <si>
    <t>EBX-Q-053</t>
  </si>
  <si>
    <t>환경 / 거버넌스 (Governance) / 제품 책임 관리 조직 및 체계</t>
  </si>
  <si>
    <t>제품 책임 / 제품 책임 관리 조직 및 체계</t>
  </si>
  <si>
    <t>대웅제약은 전 임직원을 대상으로 GMP 및 PV 교육을 실시하여 조직 전반의 품질 역량을 강화하고 있습니다. 제품의 전 생애주기에 걸친 안전성 관리를 위해 약물감시 체계를 운영하며, 생산하는 모든 제품의 이상사례와 안전성 문제를 과학적으로 탐지하고 평가합니다. 특히 RMP, 재평가, 보고, 재심사, 사용권고 등의 제도를 통해 관리 체계를 고도화하고 글로벌 규제 보고 의무를 준수하고 있습니다. 운영 체계 측면에서는 업무기준서에 따라 의약품 개발부터 판매 단계까지 전 과정의 안전성 데이터를 관리합니다. 홈페이지 내 이상사례 보고 시스템을 통해 자발적 보고, 문헌, 임상연구, 해외사례 등 다양한 경로로 안전성 정보를 수집하며, 시판 전후의 안전성 시험과 분석법 검증을 통해 데이터의 신뢰성을 확보하고 있습니다.</t>
  </si>
  <si>
    <t>대웅제약은 품질경영(QM), 품질보증(QA), 품질관리(QC) 조직을 통해 SOP 문서화, 밸리데이션, 환경 및 공정관리, 시험 및 감사 업무를 수행하며 제품 품질을 관리하고 있습니다. 또한, 생산하는 모든 제품의 전 생애주기에 걸쳐 이상사례와 안전성 문제를 과학적으로 탐지 및 평가하는 약물감시 체계를 운영하며, RMP, 재평가, 보고, 재심사, 사용권고 등의 제도를 통해 글로벌 규제 보고 의무를 준수하고 있습니다.</t>
  </si>
  <si>
    <t>EBX-Q-054</t>
  </si>
  <si>
    <t>환경 / 위험 관리 (Risk Management) / 제품 전 과정 환경 리스크 관리</t>
  </si>
  <si>
    <t>제품 책임 / 제품 전 과정 환경 리스크 관리</t>
  </si>
  <si>
    <t>Answer: empty / Consumer Decision: blocked_api_status / QA Grade: failed / Publication: blocked / Publication Reason: qa_not_passed / Coverage: writer_empty / RAG Coverage: insufficient / Answerable: False / Evidence: insufficient</t>
  </si>
  <si>
    <t>EBX-Q-055</t>
  </si>
  <si>
    <t>환경 / 지표 (Metrics) / 제품 환경 책임 이행 현황</t>
  </si>
  <si>
    <t>제품 책임 / 제품 환경 책임 이행 현황</t>
  </si>
  <si>
    <t>대웅제약은 제품의 전과정에서 환경 영향을 최소화하기 위해 용기 단순화 및 친환경 포장재 적용을 추진하고 있습니다. 특히 일반의약품(OTC) 제품군을 대상으로 용기 규격을 최적화하여 플라스틱 사용량을 절감하는 활동을 전개하고 있습니다. 주요 적용 사례로 대웅우루사 연질캡슐 30CP의 경우 50mL HDPE 용기(스크류 1호)를 적용하였으며, 대웅우루사 연질캡슐 120CP와 복합우루사 연질캡슐 80CP 등에도 각각 150mL 및 250mL HDPE 용기를 적용하여 자재 효율화를 도모하고 있습니다. 또한 임팩타민원스정 120T에는 150mL HDPE 용기를, 임팩타민 케어정 120T와 임팩타민프리미엄정 60T에는 100mL HDPE 용기를 적용하는 등 제품별 특성에 맞춘 용기 단순화를 통해 플라스틱 배출량 저감을 실천하고 있습니다.</t>
  </si>
  <si>
    <t>EBX-Q-056</t>
  </si>
  <si>
    <t>사회 / 전략 (Strategy) / 인재 육성 및 인적 자본 관리 정책</t>
  </si>
  <si>
    <t>인적 자본 / 인재 육성 및 인적 자본 관리 정책</t>
  </si>
  <si>
    <t>대웅제약은 공정과 자율의 가치를 실천하기 위해 임직원들에게 안전하고 행복한 일터를 제공하고, 인재 육성을 위한 다양한 프로그램을 운영하고 있습니다. 대표이사는 지속가능한 인재 중심 경영을 통해 글로벌 ESG 기업으로 거듭나겠다는 의지를 공식적으로 표명하며 인적 자본 관리의 방향성을 제시하였습니다.</t>
  </si>
  <si>
    <t>대웅제약은 공정과 자율의 가치를 실천하기 위해 임직원에게 안전하고 행복한 일터를 제공하며, 인재 육성을 위한 다양한 프로그램을 운영하고 있습니다. 회사는 지속가능한 인재 중심 경영을 통해 글로벌 ESG 기업으로 거듭나겠다는 방향성을 밝히고 있습니다.</t>
  </si>
  <si>
    <t>EBX-Q-057</t>
  </si>
  <si>
    <t>사회 / 거버넌스 (Governance) / 인적 자본 관리 조직 및 체계</t>
  </si>
  <si>
    <t>인적 자본 / 인적 자본 관리 조직 및 체계</t>
  </si>
  <si>
    <t>EBX-Q-058</t>
  </si>
  <si>
    <t>사회 / 위험 관리 (Risk Management) / 인적 자본 관련 리스크 관리</t>
  </si>
  <si>
    <t>인적 자본 / 인적 자본 관련 리스크 관리</t>
  </si>
  <si>
    <t>EBX-Q-059</t>
  </si>
  <si>
    <t>사회 / 지표 (Metrics) / 교육 및 인재 육성 현황</t>
  </si>
  <si>
    <t>인적 자본 / 교육 및 인재 육성 현황</t>
  </si>
  <si>
    <t>검토 중인 제안 자료상 또한, 2016년 업계 최초로 직무급 제도를 도입하여 성별과 관계없이 동등한 기회를 제공함으로써 차세대 여성 리더 육성에 노력하고 있습니다.</t>
  </si>
  <si>
    <t>EBX-Q-060</t>
  </si>
  <si>
    <t>사회 / 전략 (Strategy) / 다양성 및 포용성 정책 및 목표</t>
  </si>
  <si>
    <t>다양성 및 포용성 / 다양성 및 포용성 정책 및 목표</t>
  </si>
  <si>
    <t>대웅제약은 장애인 등 고용 취약계층의 안정적인 일자리 확대와 조직 내 다양성 제고를 위해 포용적인 고용 환경을 조성하는 데 주력하고 있습니다. 이를 위해 채용 과정에서 직무별 채용공고에 장애인 우대사항을 명시하여 실질적인 채용 기회를 확대하고 있으며, 발달장애인 고용 전문기업과 협력하여 사내 매점인 '베어마트'를 운영함으로써 지속가능한 일자리 모델을 구축하고 있습니다. 베어마트는 2025년 12월 기준 발달장애인 10명과 직무전문가 2명이 근무하고 있으며, 4인 1조 3교대 체계를 통해 안정적인 근무 환경을 제공하고 있습니다. 대웅제약은 이러한 포용적 고용 정책을 바탕으로 2026년까지 장애인 고용 규모를 총 11인 수준으로 확대할 계획이며, 앞으로도 다양성과 포용성을 기반으로 고용 기회를 지속적으로 넓혀갈 예정입니다. 아울러 '자율'과 '성장'의 가치를 바탕으로 일과 가정이 조화롭게 병행될 수 있는 제도를 정착시키고 이를 조직 내에 적극적으로 확산시킨 결과, 2025년 여성가족부 주관 '가족친화 선도기업'으로 인증 및 선정되며 성별과 생애주기를 포용하는 조직문화 조성 성과를 거두었습니다. 대웅제약은 앞으로도 차별 없는 고용 환경과 가족친화적인 제도를 통해 구성원 모두가 존중받는 포용적 기업 문화를 강화해 나갈 방침입니다.</t>
  </si>
  <si>
    <t>대웅제약은 장애인 등 고용 취약계층의 안정적인 일자리 확대와 조직 내 다양성 제고를 위해 포용적 고용 환경 조성을 추진하고 있습니다. 채용 과정에서 직무별 공고에 장애인 우대사항을 명시하여 기회를 확대하고 있으며, 발달장애인 고용 전문기업과 협력하여 사내 매점 ‘베어마트’를 통해 지속가능한 일자리 모델을 구축하고 있습니다. 2025년 12월 기준 베어마트에는 10명의 발달장애인이 근무하고 있으며, 2026년까지 장애인 고용 규모를 총 11인 수준으로 확대할 계획입니다. 검토 중인 제안 자료상 또한, 2016년 업계 최초로 성별 구분 없이 동등한 기회를 제공하는 직무급 제도를 도입하여 여성 인재 육성과 리더십 발휘를 지원하고 있습니다.</t>
  </si>
  <si>
    <t>EBX-Q-061</t>
  </si>
  <si>
    <t>사회 / 거버넌스 (Governance) / 다양성 및 포용성 관리 체계</t>
  </si>
  <si>
    <t>다양성 및 포용성 / 다양성 및 포용성 관리 체계</t>
  </si>
  <si>
    <t>검토 중인 제안 자료상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임원이 GPTW 혁신리더상을 수상하기도 하였습니다.</t>
  </si>
  <si>
    <t>EBX-Q-062</t>
  </si>
  <si>
    <t>사회 / 위험 관리 (Risk Management) / 차별 및 형평성 관련 리스크 관리</t>
  </si>
  <si>
    <t>다양성 및 포용성 / 차별 및 형평성 관련 리스크 관리</t>
  </si>
  <si>
    <t>대웅제약은 조직 내 차별을 철폐하고 형평성을 제고하기 위해 구체적이며 측정 가능하고 달성 가능한 정책과 목표를 수립하여 이를 체계적으로 모니터링하고 있습니다. 특히 성적 지향을 포함한 다양성과 포용성을 촉진하기 위해 실효성 있는 정책과 구체적인 행동 계획을 수립하여 운영함으로써 모든 구성원이 존중받는 조직 문화를 조성하는 데 주력하고 있습니다. 사회적 형평성 강화 활동의 일환으로 차별 철폐뿐만 아니라 소외 계층의 실질적인 역량 강화를 지원하고 있습니다. 이를 위해 멘토링 프로그램과 기술 교육 등 다양한 지원 사업에 후원하거나 직접 참여함으로써 구성원과 사회 전반의 포용적 가치를 확산시키고 있습니다. 리스크 관리 체계 측면에서는 조직 내에서 발생할 수 있는 차별, 괴롭힘, 성희롱 등의 리스크를 사전에 예방하고 신속하게 대응하기 위해 적절한 구제 메커니즘을 구축하여 운영하고 있습니다. 특히 피해자 보호와 신고자 비밀 유지를 위한 보호 절차가 엄격하게 준수되고 있는지 주기적으로 점검함으로써, 리스크 관리 프로세스의 실효성을 확보하고 구성원이 안심하고 근무할 수 있는 환경을 구축하고 있습니다.</t>
  </si>
  <si>
    <t>외부 평가 자료상 차별 철폐 및 소외 계층의 역량 강화를 위한 멘토링, 기술 교육 등에 후원 또는 참여한다. 차별 철폐에 대해 구체적이고, 측정 가능하며, 달성 가능한 정책 및 목표를 수립하고 모니터링한다.</t>
  </si>
  <si>
    <t>Answer: passed / Consumer Decision: answered_partial / QA Grade: cautious / Publication: review_required / Publication Reason: assessment_only / Coverage: assessment_only / RAG Coverage: insufficient / Answerable: False / Evidence: insufficient</t>
  </si>
  <si>
    <t>EBX-Q-063</t>
  </si>
  <si>
    <t>사회 / 지표 (Metrics) / 구성원 다양성 현황</t>
  </si>
  <si>
    <t>다양성 및 포용성 / 구성원 다양성 현황</t>
  </si>
  <si>
    <t>대웅제약은 성별과 연령 등 인적 구성의 다양성을 확보하여 포용적인 조직 문화를 조성하고 임직원이 함께 성장할 수 있는 환경을 구축하고 있습니다. 2025년 기준 임직원 구성 현황을 살펴보면, 남성 인력은 1,136명이며 여성 인력은 정규직 617명, 기간제 근로자 41명, 소속 외 근로자 133명으로 구성되어 성별 다양성을 유지하고 있습니다. 연령별로는 30세 미만 인력이 450명, 30세에서 50세 사이의 인력이 1,251명으로 집계되어 다양한 세대가 조화를 이루며 근무하는 환경을 운영하고 있습니다. 특히 사회적 약자에 대한 실질적인 고용 기회를 확대하여 다양성과 포용성의 가치를 실천하고 있습니다. 2025년 12월 기준 베어마트에는 10명의 발달장애인과 2명의 직무전문가가 근무하고 있으며, 4인 1조 3교대 체계를 도입하여 장애인 근로자가 안정적으로 근무할 수 있는 환경을 제공하고 있습니다. 대웅제약은 이러한 포용적 고용 정책을 지속적으로 강화하여 2026년까지 장애인 고용 규모를 총 11인 수준으로 확대할 계획이며, 앞으로도 다양성과 포용성을 기반으로 장애인 고용 기회를 지속적으로 확대해 나갈 예정입니다.</t>
  </si>
  <si>
    <t>대웅제약은 포용적 고용 환경 조성을 위해 장애인 등 고용 취약계층의 일자리를 확대하고 있습니다. 검토 중인 제안 자료상 또한, 2016년 업계 최초로 성별 구분 없이 동등한 기회를 제공하는 직무급 제도를 도입하여 여성 리더십 발휘를 지원하고 있습니다.</t>
  </si>
  <si>
    <t>EBX-Q-064</t>
  </si>
  <si>
    <t>사회 / 전략 (Strategy) / 공급망 지속가능성 관리 정책</t>
  </si>
  <si>
    <t>공급망 책임 관리 / 공급망 지속가능성 관리 정책</t>
  </si>
  <si>
    <r>
      <rPr>
        <sz val="9"/>
        <rFont val="맑은 고딕"/>
        <family val="3"/>
        <charset val="129"/>
      </rPr>
      <t>ESG TF</t>
    </r>
    <r>
      <rPr>
        <sz val="9"/>
        <rFont val="Noto Sans CJK SC"/>
        <family val="2"/>
      </rPr>
      <t xml:space="preserve">를 중심으로 대웅제약은 제약산업 공급망의 지속가능성과 책임 있는 경영 실천을 위해 </t>
    </r>
    <r>
      <rPr>
        <sz val="9"/>
        <rFont val="맑은 고딕"/>
        <family val="3"/>
        <charset val="129"/>
      </rPr>
      <t>PSCI(Pharmaceutical Supply Chain Initiative)</t>
    </r>
    <r>
      <rPr>
        <sz val="9"/>
        <rFont val="Noto Sans CJK SC"/>
        <family val="2"/>
      </rPr>
      <t xml:space="preserve">의 원칙과 가치를 지지하며 체계적인 공급망 </t>
    </r>
    <r>
      <rPr>
        <sz val="9"/>
        <rFont val="맑은 고딕"/>
        <family val="3"/>
        <charset val="129"/>
      </rPr>
      <t xml:space="preserve">ESG </t>
    </r>
    <r>
      <rPr>
        <sz val="9"/>
        <rFont val="Noto Sans CJK SC"/>
        <family val="2"/>
      </rPr>
      <t>관리 체계를 구축하고 있습니다</t>
    </r>
    <r>
      <rPr>
        <sz val="9"/>
        <rFont val="맑은 고딕"/>
        <family val="3"/>
        <charset val="129"/>
      </rPr>
      <t xml:space="preserve">. </t>
    </r>
    <r>
      <rPr>
        <sz val="9"/>
        <rFont val="Noto Sans CJK SC"/>
        <family val="2"/>
      </rPr>
      <t>이를 위해 안전보건</t>
    </r>
    <r>
      <rPr>
        <sz val="9"/>
        <rFont val="맑은 고딕"/>
        <family val="3"/>
        <charset val="129"/>
      </rPr>
      <t xml:space="preserve">, </t>
    </r>
    <r>
      <rPr>
        <sz val="9"/>
        <rFont val="Noto Sans CJK SC"/>
        <family val="2"/>
      </rPr>
      <t>환경</t>
    </r>
    <r>
      <rPr>
        <sz val="9"/>
        <rFont val="맑은 고딕"/>
        <family val="3"/>
        <charset val="129"/>
      </rPr>
      <t xml:space="preserve">, </t>
    </r>
    <r>
      <rPr>
        <sz val="9"/>
        <rFont val="Noto Sans CJK SC"/>
        <family val="2"/>
      </rPr>
      <t>산업위생</t>
    </r>
    <r>
      <rPr>
        <sz val="9"/>
        <rFont val="맑은 고딕"/>
        <family val="3"/>
        <charset val="129"/>
      </rPr>
      <t xml:space="preserve">, </t>
    </r>
    <r>
      <rPr>
        <sz val="9"/>
        <rFont val="Noto Sans CJK SC"/>
        <family val="2"/>
      </rPr>
      <t>인권 및 노동</t>
    </r>
    <r>
      <rPr>
        <sz val="9"/>
        <rFont val="맑은 고딕"/>
        <family val="3"/>
        <charset val="129"/>
      </rPr>
      <t xml:space="preserve">, </t>
    </r>
    <r>
      <rPr>
        <sz val="9"/>
        <rFont val="Noto Sans CJK SC"/>
        <family val="2"/>
      </rPr>
      <t xml:space="preserve">윤리경영 등 공급망 전반에서 발생할 수 있는 주요 </t>
    </r>
    <r>
      <rPr>
        <sz val="9"/>
        <rFont val="맑은 고딕"/>
        <family val="3"/>
        <charset val="129"/>
      </rPr>
      <t xml:space="preserve">ESG </t>
    </r>
    <r>
      <rPr>
        <sz val="9"/>
        <rFont val="Noto Sans CJK SC"/>
        <family val="2"/>
      </rPr>
      <t>이슈를 식별하여 관리하고 있으며</t>
    </r>
    <r>
      <rPr>
        <sz val="9"/>
        <rFont val="맑은 고딕"/>
        <family val="3"/>
        <charset val="129"/>
      </rPr>
      <t xml:space="preserve">, </t>
    </r>
    <r>
      <rPr>
        <sz val="9"/>
        <rFont val="Noto Sans CJK SC"/>
        <family val="2"/>
      </rPr>
      <t>협력사와 함께 지속가능한 공급망을 구축하는 것을 핵심 방향으로 추진하고 있습니다</t>
    </r>
    <r>
      <rPr>
        <sz val="9"/>
        <rFont val="맑은 고딕"/>
        <family val="3"/>
        <charset val="129"/>
      </rPr>
      <t xml:space="preserve">. </t>
    </r>
    <r>
      <rPr>
        <sz val="9"/>
        <rFont val="Noto Sans CJK SC"/>
        <family val="2"/>
      </rPr>
      <t xml:space="preserve">실행력 제고를 위한 내부 역량 강화의 일환으로 </t>
    </r>
    <r>
      <rPr>
        <sz val="9"/>
        <rFont val="맑은 고딕"/>
        <family val="3"/>
        <charset val="129"/>
      </rPr>
      <t>2024</t>
    </r>
    <r>
      <rPr>
        <sz val="9"/>
        <rFont val="Noto Sans CJK SC"/>
        <family val="2"/>
      </rPr>
      <t xml:space="preserve">년 </t>
    </r>
    <r>
      <rPr>
        <sz val="9"/>
        <rFont val="맑은 고딕"/>
        <family val="3"/>
        <charset val="129"/>
      </rPr>
      <t>2</t>
    </r>
    <r>
      <rPr>
        <sz val="9"/>
        <rFont val="Noto Sans CJK SC"/>
        <family val="2"/>
      </rPr>
      <t xml:space="preserve">월에는 </t>
    </r>
    <r>
      <rPr>
        <sz val="9"/>
        <rFont val="맑은 고딕"/>
        <family val="3"/>
        <charset val="129"/>
      </rPr>
      <t>ESG TF</t>
    </r>
    <r>
      <rPr>
        <sz val="9"/>
        <rFont val="Noto Sans CJK SC"/>
        <family val="2"/>
      </rPr>
      <t xml:space="preserve">를 대상으로 </t>
    </r>
    <r>
      <rPr>
        <sz val="9"/>
        <rFont val="맑은 고딕"/>
        <family val="3"/>
        <charset val="129"/>
      </rPr>
      <t xml:space="preserve">PSCI </t>
    </r>
    <r>
      <rPr>
        <sz val="9"/>
        <rFont val="Noto Sans CJK SC"/>
        <family val="2"/>
      </rPr>
      <t>교육을 실시하였습니다</t>
    </r>
    <r>
      <rPr>
        <sz val="9"/>
        <rFont val="맑은 고딕"/>
        <family val="3"/>
        <charset val="129"/>
      </rPr>
      <t xml:space="preserve">. </t>
    </r>
    <r>
      <rPr>
        <sz val="9"/>
        <rFont val="Noto Sans CJK SC"/>
        <family val="2"/>
      </rPr>
      <t>이를 통해 글로벌 제약산업에서 요구하는 책임 있는 공급망 관리 기준에 대한 이해도를 높였으며</t>
    </r>
    <r>
      <rPr>
        <sz val="9"/>
        <rFont val="맑은 고딕"/>
        <family val="3"/>
        <charset val="129"/>
      </rPr>
      <t xml:space="preserve">, </t>
    </r>
    <r>
      <rPr>
        <sz val="9"/>
        <rFont val="Noto Sans CJK SC"/>
        <family val="2"/>
      </rPr>
      <t xml:space="preserve">공급망 </t>
    </r>
    <r>
      <rPr>
        <sz val="9"/>
        <rFont val="맑은 고딕"/>
        <family val="3"/>
        <charset val="129"/>
      </rPr>
      <t xml:space="preserve">ESG </t>
    </r>
    <r>
      <rPr>
        <sz val="9"/>
        <rFont val="Noto Sans CJK SC"/>
        <family val="2"/>
      </rPr>
      <t>관리의 중요성에 대한 전사적 공감대를 형성하는 성과를 거두었습니다</t>
    </r>
    <r>
      <rPr>
        <sz val="9"/>
        <rFont val="맑은 고딕"/>
        <family val="3"/>
        <charset val="129"/>
      </rPr>
      <t xml:space="preserve">. </t>
    </r>
    <r>
      <rPr>
        <sz val="9"/>
        <rFont val="Noto Sans CJK SC"/>
        <family val="2"/>
      </rPr>
      <t>또한 환경보호와 환경보전에 대한 사회적 책임을 충실히 수행하기 위해 친환경 요소를 반영한 녹색구매정책을 수립하여 운영하고 있습니다</t>
    </r>
    <r>
      <rPr>
        <sz val="9"/>
        <rFont val="맑은 고딕"/>
        <family val="3"/>
        <charset val="129"/>
      </rPr>
      <t xml:space="preserve">. </t>
    </r>
    <r>
      <rPr>
        <sz val="9"/>
        <rFont val="Noto Sans CJK SC"/>
        <family val="2"/>
      </rPr>
      <t>해당 정책의 적용 범위는 회사의 전 사업장으로 확대하여 적용하며</t>
    </r>
    <r>
      <rPr>
        <sz val="9"/>
        <rFont val="맑은 고딕"/>
        <family val="3"/>
        <charset val="129"/>
      </rPr>
      <t xml:space="preserve">, </t>
    </r>
    <r>
      <rPr>
        <sz val="9"/>
        <rFont val="Noto Sans CJK SC"/>
        <family val="2"/>
      </rPr>
      <t>생산 목적의 원</t>
    </r>
    <r>
      <rPr>
        <sz val="9"/>
        <rFont val="맑은 고딕"/>
        <family val="3"/>
        <charset val="129"/>
      </rPr>
      <t>·</t>
    </r>
    <r>
      <rPr>
        <sz val="9"/>
        <rFont val="Noto Sans CJK SC"/>
        <family val="2"/>
      </rPr>
      <t>부자재 구매는 물론 일반 비품 및 소모성 자재 구매 업무까지 포괄하여 환경 영향을 최소화하고 있습니다</t>
    </r>
    <r>
      <rPr>
        <sz val="9"/>
        <rFont val="맑은 고딕"/>
        <family val="3"/>
        <charset val="129"/>
      </rPr>
      <t xml:space="preserve">. </t>
    </r>
    <r>
      <rPr>
        <sz val="9"/>
        <rFont val="Noto Sans CJK SC"/>
        <family val="2"/>
      </rPr>
      <t>나아가 공급망 내에 친환경성과 지속가능성이 실질적으로 확산될 수 있도록 협력업체의 안정적인 녹색제품 공급을 지원하는 방안을 검토하고 있습니다</t>
    </r>
    <r>
      <rPr>
        <sz val="9"/>
        <rFont val="맑은 고딕"/>
        <family val="3"/>
        <charset val="129"/>
      </rPr>
      <t xml:space="preserve">. </t>
    </r>
    <r>
      <rPr>
        <sz val="9"/>
        <rFont val="Noto Sans CJK SC"/>
        <family val="2"/>
      </rPr>
      <t xml:space="preserve">대웅제약은 이러한 정책적 기반과 실행 과제를 통해 공급망 전반의 </t>
    </r>
    <r>
      <rPr>
        <sz val="9"/>
        <rFont val="맑은 고딕"/>
        <family val="3"/>
        <charset val="129"/>
      </rPr>
      <t xml:space="preserve">ESG </t>
    </r>
    <r>
      <rPr>
        <sz val="9"/>
        <rFont val="Noto Sans CJK SC"/>
        <family val="2"/>
      </rPr>
      <t>리스크를 관리하고</t>
    </r>
    <r>
      <rPr>
        <sz val="9"/>
        <rFont val="맑은 고딕"/>
        <family val="3"/>
        <charset val="129"/>
      </rPr>
      <t xml:space="preserve">, </t>
    </r>
    <r>
      <rPr>
        <sz val="9"/>
        <rFont val="Noto Sans CJK SC"/>
        <family val="2"/>
      </rPr>
      <t>협력사와 함께 성장하는 지속가능한 생태계 조성을 추진하고 있습니다</t>
    </r>
    <r>
      <rPr>
        <sz val="9"/>
        <rFont val="맑은 고딕"/>
        <family val="3"/>
        <charset val="129"/>
      </rPr>
      <t>.</t>
    </r>
  </si>
  <si>
    <t>대웅제약은 제약산업 공급망의 지속가능성과 책임 있는 경영 실천을 위해 PSCI(Pharmaceutical Supply Chain Initiative)의 원칙과 가치를 지지하며, 안전보건, 환경, 산업위생, 인권 및 노동, 윤리경영 등 공급망 전반의 주요 ESG 이슈를 체계적으로 관리하고 있습니다. 또한, 환경보호와 보전에 대한 사회적 책임을 수행하기 위해 친환경 요소를 반영한 녹색구매정책을 수립하여 전 사업장의 원 부자재 및 비품 구매에 적용하고 있습니다. 협력사와 긴밀히 협력하여 친환경 자재의 공동 개발 및 도입을 추진하고 있으며, 협력업체의 안정적인 녹색제품 공급을 지원하는 방안을 검토하고 있습니다.</t>
  </si>
  <si>
    <t>EBX-Q-065</t>
  </si>
  <si>
    <t>사회 / 거버넌스 (Governance) / 공급망 관리 조직 및 체계</t>
  </si>
  <si>
    <t>공급망 책임 관리 / 공급망 관리 조직 및 체계</t>
  </si>
  <si>
    <r>
      <rPr>
        <sz val="9"/>
        <rFont val="맑은 고딕"/>
        <family val="3"/>
        <charset val="129"/>
      </rPr>
      <t xml:space="preserve">ESG </t>
    </r>
    <r>
      <rPr>
        <sz val="9"/>
        <rFont val="Noto Sans CJK SC"/>
        <family val="2"/>
      </rPr>
      <t>팀 내에 공급망 관리를 전담하는 역할을 명확히 설정하여 공급망 지속가능 경영을 추진하고 있습니다</t>
    </r>
    <r>
      <rPr>
        <sz val="9"/>
        <rFont val="맑은 고딕"/>
        <family val="3"/>
        <charset val="129"/>
      </rPr>
      <t xml:space="preserve">. </t>
    </r>
    <r>
      <rPr>
        <sz val="9"/>
        <rFont val="Noto Sans CJK SC"/>
        <family val="2"/>
      </rPr>
      <t xml:space="preserve">거버넌스 체계는 </t>
    </r>
    <r>
      <rPr>
        <sz val="9"/>
        <rFont val="맑은 고딕"/>
        <family val="3"/>
        <charset val="129"/>
      </rPr>
      <t>CEO</t>
    </r>
    <r>
      <rPr>
        <sz val="9"/>
        <rFont val="Noto Sans CJK SC"/>
        <family val="2"/>
      </rPr>
      <t>가 의장을 맡고 있는 이사회의 최종 감독 아래</t>
    </r>
    <r>
      <rPr>
        <sz val="9"/>
        <rFont val="맑은 고딕"/>
        <family val="3"/>
        <charset val="129"/>
      </rPr>
      <t>, ESG</t>
    </r>
    <r>
      <rPr>
        <sz val="9"/>
        <rFont val="Noto Sans CJK SC"/>
        <family val="2"/>
      </rPr>
      <t>경영위원회가 공급망 지속가능 경영의 전반적인 방향성을 수립하는 구조로 운영됩니다</t>
    </r>
    <r>
      <rPr>
        <sz val="9"/>
        <rFont val="맑은 고딕"/>
        <family val="3"/>
        <charset val="129"/>
      </rPr>
      <t xml:space="preserve">. </t>
    </r>
    <r>
      <rPr>
        <sz val="9"/>
        <rFont val="Noto Sans CJK SC"/>
        <family val="2"/>
      </rPr>
      <t xml:space="preserve">실무 수행 단계에서는 </t>
    </r>
    <r>
      <rPr>
        <sz val="9"/>
        <rFont val="맑은 고딕"/>
        <family val="3"/>
        <charset val="129"/>
      </rPr>
      <t xml:space="preserve">ESG </t>
    </r>
    <r>
      <rPr>
        <sz val="9"/>
        <rFont val="Noto Sans CJK SC"/>
        <family val="2"/>
      </rPr>
      <t>전담부서와 구매</t>
    </r>
    <r>
      <rPr>
        <sz val="9"/>
        <rFont val="맑은 고딕"/>
        <family val="3"/>
        <charset val="129"/>
      </rPr>
      <t>·</t>
    </r>
    <r>
      <rPr>
        <sz val="9"/>
        <rFont val="Noto Sans CJK SC"/>
        <family val="2"/>
      </rPr>
      <t>조달 부서가 긴밀하게 협업하며</t>
    </r>
    <r>
      <rPr>
        <sz val="9"/>
        <rFont val="맑은 고딕"/>
        <family val="3"/>
        <charset val="129"/>
      </rPr>
      <t xml:space="preserve">, </t>
    </r>
    <r>
      <rPr>
        <sz val="9"/>
        <rFont val="Noto Sans CJK SC"/>
        <family val="2"/>
      </rPr>
      <t xml:space="preserve">구체적인 추진을 위해 </t>
    </r>
    <r>
      <rPr>
        <sz val="9"/>
        <rFont val="맑은 고딕"/>
        <family val="3"/>
        <charset val="129"/>
      </rPr>
      <t>ESG</t>
    </r>
    <r>
      <rPr>
        <sz val="9"/>
        <rFont val="Noto Sans CJK SC"/>
        <family val="2"/>
      </rPr>
      <t xml:space="preserve">팀장을 </t>
    </r>
    <r>
      <rPr>
        <sz val="9"/>
        <rFont val="맑은 고딕"/>
        <family val="3"/>
        <charset val="129"/>
      </rPr>
      <t>TF</t>
    </r>
    <r>
      <rPr>
        <sz val="9"/>
        <rFont val="Noto Sans CJK SC"/>
        <family val="2"/>
      </rPr>
      <t xml:space="preserve">장으로 하는 </t>
    </r>
    <r>
      <rPr>
        <sz val="9"/>
        <rFont val="맑은 고딕"/>
        <family val="3"/>
        <charset val="129"/>
      </rPr>
      <t>ESG TF</t>
    </r>
    <r>
      <rPr>
        <sz val="9"/>
        <rFont val="Noto Sans CJK SC"/>
        <family val="2"/>
      </rPr>
      <t>를 구성하고 있습니다</t>
    </r>
    <r>
      <rPr>
        <sz val="9"/>
        <rFont val="맑은 고딕"/>
        <family val="3"/>
        <charset val="129"/>
      </rPr>
      <t xml:space="preserve">. </t>
    </r>
    <r>
      <rPr>
        <sz val="9"/>
        <rFont val="Noto Sans CJK SC"/>
        <family val="2"/>
      </rPr>
      <t xml:space="preserve">해당 </t>
    </r>
    <r>
      <rPr>
        <sz val="9"/>
        <rFont val="맑은 고딕"/>
        <family val="3"/>
        <charset val="129"/>
      </rPr>
      <t>TF</t>
    </r>
    <r>
      <rPr>
        <sz val="9"/>
        <rFont val="Noto Sans CJK SC"/>
        <family val="2"/>
      </rPr>
      <t xml:space="preserve">에는 </t>
    </r>
    <r>
      <rPr>
        <sz val="9"/>
        <rFont val="맑은 고딕"/>
        <family val="3"/>
        <charset val="129"/>
      </rPr>
      <t>CFO</t>
    </r>
    <r>
      <rPr>
        <sz val="9"/>
        <rFont val="Noto Sans CJK SC"/>
        <family val="2"/>
      </rPr>
      <t xml:space="preserve">를 비롯하여 </t>
    </r>
    <r>
      <rPr>
        <sz val="9"/>
        <rFont val="맑은 고딕"/>
        <family val="3"/>
        <charset val="129"/>
      </rPr>
      <t>ESG</t>
    </r>
    <r>
      <rPr>
        <sz val="9"/>
        <rFont val="Noto Sans CJK SC"/>
        <family val="2"/>
      </rPr>
      <t>팀</t>
    </r>
    <r>
      <rPr>
        <sz val="9"/>
        <rFont val="맑은 고딕"/>
        <family val="3"/>
        <charset val="129"/>
      </rPr>
      <t xml:space="preserve">, </t>
    </r>
    <r>
      <rPr>
        <sz val="9"/>
        <rFont val="Noto Sans CJK SC"/>
        <family val="2"/>
      </rPr>
      <t>인사팀</t>
    </r>
    <r>
      <rPr>
        <sz val="9"/>
        <rFont val="맑은 고딕"/>
        <family val="3"/>
        <charset val="129"/>
      </rPr>
      <t xml:space="preserve">, </t>
    </r>
    <r>
      <rPr>
        <sz val="9"/>
        <rFont val="Noto Sans CJK SC"/>
        <family val="2"/>
      </rPr>
      <t>구매팀</t>
    </r>
    <r>
      <rPr>
        <sz val="9"/>
        <rFont val="맑은 고딕"/>
        <family val="3"/>
        <charset val="129"/>
      </rPr>
      <t xml:space="preserve">, </t>
    </r>
    <r>
      <rPr>
        <sz val="9"/>
        <rFont val="Noto Sans CJK SC"/>
        <family val="2"/>
      </rPr>
      <t>공무팀</t>
    </r>
    <r>
      <rPr>
        <sz val="9"/>
        <rFont val="맑은 고딕"/>
        <family val="3"/>
        <charset val="129"/>
      </rPr>
      <t>, CP</t>
    </r>
    <r>
      <rPr>
        <sz val="9"/>
        <rFont val="Noto Sans CJK SC"/>
        <family val="2"/>
      </rPr>
      <t>팀</t>
    </r>
    <r>
      <rPr>
        <sz val="9"/>
        <rFont val="맑은 고딕"/>
        <family val="3"/>
        <charset val="129"/>
      </rPr>
      <t>, SCM</t>
    </r>
    <r>
      <rPr>
        <sz val="9"/>
        <rFont val="Noto Sans CJK SC"/>
        <family val="2"/>
      </rPr>
      <t>팀</t>
    </r>
    <r>
      <rPr>
        <sz val="9"/>
        <rFont val="맑은 고딕"/>
        <family val="3"/>
        <charset val="129"/>
      </rPr>
      <t>, QM/QA/QC</t>
    </r>
    <r>
      <rPr>
        <sz val="9"/>
        <rFont val="Noto Sans CJK SC"/>
        <family val="2"/>
      </rPr>
      <t>팀 등 관련 부서가 참여하여 유기적인 협력 체계를 구축하고 있습니다</t>
    </r>
    <r>
      <rPr>
        <sz val="9"/>
        <rFont val="맑은 고딕"/>
        <family val="3"/>
        <charset val="129"/>
      </rPr>
      <t xml:space="preserve">. </t>
    </r>
    <r>
      <rPr>
        <sz val="9"/>
        <rFont val="Noto Sans CJK SC"/>
        <family val="2"/>
      </rPr>
      <t xml:space="preserve">대웅제약은 제약산업 공급망의 지속가능성과 책임 있는 경영 실천을 위해 </t>
    </r>
    <r>
      <rPr>
        <sz val="9"/>
        <rFont val="맑은 고딕"/>
        <family val="3"/>
        <charset val="129"/>
      </rPr>
      <t>PSCI(Pharmaceutical Supply Chain Initiative)</t>
    </r>
    <r>
      <rPr>
        <sz val="9"/>
        <rFont val="Noto Sans CJK SC"/>
        <family val="2"/>
      </rPr>
      <t>의 원칙과 가치를 지지하며</t>
    </r>
    <r>
      <rPr>
        <sz val="9"/>
        <rFont val="맑은 고딕"/>
        <family val="3"/>
        <charset val="129"/>
      </rPr>
      <t xml:space="preserve">, </t>
    </r>
    <r>
      <rPr>
        <sz val="9"/>
        <rFont val="Noto Sans CJK SC"/>
        <family val="2"/>
      </rPr>
      <t>이를 바탕으로 공급망 관리 체계 구축 로드맵을 추진하고 있습니다</t>
    </r>
    <r>
      <rPr>
        <sz val="9"/>
        <rFont val="맑은 고딕"/>
        <family val="3"/>
        <charset val="129"/>
      </rPr>
      <t>. 2025</t>
    </r>
    <r>
      <rPr>
        <sz val="9"/>
        <rFont val="Noto Sans CJK SC"/>
        <family val="2"/>
      </rPr>
      <t xml:space="preserve">년부터 </t>
    </r>
    <r>
      <rPr>
        <sz val="9"/>
        <rFont val="맑은 고딕"/>
        <family val="3"/>
        <charset val="129"/>
      </rPr>
      <t>2026</t>
    </r>
    <r>
      <rPr>
        <sz val="9"/>
        <rFont val="Noto Sans CJK SC"/>
        <family val="2"/>
      </rPr>
      <t>년까지는 영역별 평가 기준 마련과 운영 및 관리 체계 구축에 집중하고</t>
    </r>
    <r>
      <rPr>
        <sz val="9"/>
        <rFont val="맑은 고딕"/>
        <family val="3"/>
        <charset val="129"/>
      </rPr>
      <t>, 2027</t>
    </r>
    <r>
      <rPr>
        <sz val="9"/>
        <rFont val="Noto Sans CJK SC"/>
        <family val="2"/>
      </rPr>
      <t xml:space="preserve">년부터 </t>
    </r>
    <r>
      <rPr>
        <sz val="9"/>
        <rFont val="맑은 고딕"/>
        <family val="3"/>
        <charset val="129"/>
      </rPr>
      <t>2028</t>
    </r>
    <r>
      <rPr>
        <sz val="9"/>
        <rFont val="Noto Sans CJK SC"/>
        <family val="2"/>
      </rPr>
      <t>년까지는 협력회사 역량 강화 프로그램 확대 및 리스크 관리 강화를 통한 체계 고도화를 추진할 계획입니다</t>
    </r>
    <r>
      <rPr>
        <sz val="9"/>
        <rFont val="맑은 고딕"/>
        <family val="3"/>
        <charset val="129"/>
      </rPr>
      <t xml:space="preserve">. </t>
    </r>
    <r>
      <rPr>
        <sz val="9"/>
        <rFont val="Noto Sans CJK SC"/>
        <family val="2"/>
      </rPr>
      <t xml:space="preserve">이후 </t>
    </r>
    <r>
      <rPr>
        <sz val="9"/>
        <rFont val="맑은 고딕"/>
        <family val="3"/>
        <charset val="129"/>
      </rPr>
      <t>2029</t>
    </r>
    <r>
      <rPr>
        <sz val="9"/>
        <rFont val="Noto Sans CJK SC"/>
        <family val="2"/>
      </rPr>
      <t>년에는 이를 자회사 및 해외 법인으로 확산하여 지속가능한 공급망 생태계를 구축하는 것을 목표로 하고 있습니다</t>
    </r>
    <r>
      <rPr>
        <sz val="9"/>
        <rFont val="맑은 고딕"/>
        <family val="3"/>
        <charset val="129"/>
      </rPr>
      <t>.</t>
    </r>
  </si>
  <si>
    <t>검토 중인 제안 자료상 실무 수행은 구매 조달 부서와 ESG 전담부서가 긴밀하게 협업하는 구조이며, 대표이사는 공급망 전반의 지속가능성 안건을 최종 심의 및 의결하고 공급망 실사 지침 등 규제 대응 방안을 논의합니다. ESG 전담 조직은 협력회사 행동규범의 제정 및 전파, 현장 점검, 역량 강화 지원, 공급망 리스크 평가 및 관리를 담당합니다.</t>
  </si>
  <si>
    <t>EBX-Q-066</t>
  </si>
  <si>
    <t>사회 / 위험 관리 (Risk Management) / 공급망 ESG 리스크 관리</t>
  </si>
  <si>
    <t>공급망 책임 관리 / 공급망 ESG 리스크 관리</t>
  </si>
  <si>
    <t>대웅제약은 ESG 팀 내에 공급망 관리를 전담하는 역할을 명확히 설정하여 지속가능한 공급망 생태계 구축을 추진하고 있습니다. 협력회사의 사업 경쟁력 향상과 더불어 노동인권, 안전보건, 환경, 윤리 등 ESG 전반을 아우르는 포괄적인 관리 기준을 적용하여 지속가능한 공급망을 구축하고자 합니다. 공급망 내에서 발생할 수 있는 다양한 지속가능성 리스크를 사전에 식별하고 관리하기 위해 실사 의무를 공급망 리스크 관리 체계에 통합하고 있으며, 협력회사가 자율적으로 행동규범을 이행하고 지속가능경영을 실천할 수 있도록 적극적으로 지원하고 있습니다. 아울러 단계별 공급망 관리 체계 구축 로드맵을 수립하여 운영 중입니다. 2025년부터 2026년까지는 영역별 평가 기준 마련과 운영 및 관리 체계 구축에 집중하고, 2027년부터 2028년까지는 협력회사 역량 강화 프로그램 확대 및 리스크 관리를 강화하여 체계를 고도화할 계획입니다. 이후 2029년에는 이를 자회사 및 해외 법인으로 확산하여 통합적인 공급망 관리 체계를 완성하고자 합니다.</t>
  </si>
  <si>
    <t>EBX-Q-067</t>
  </si>
  <si>
    <t>사회 / 지표 (Metrics) / 협력사 ESG 평가 및 관리 현황</t>
  </si>
  <si>
    <t>공급망 책임 관리 / 협력사 ESG 평가 및 관리 현황</t>
  </si>
  <si>
    <t>대웅제약은 공급망 인권경영 체계의 실효성을 높이기 위해 매년 평가 결과와 개선 현황을 지속가능경영보고서에 공시하고 있으며, 이해관계자의 의견을 수렴하여 평가 체계를 지속적으로 고도화하고 있습니다. 협력회사를 대상으로 연 1회 정기적인 자가 설문 방식의 ESG 평가를 실시함으로써 공급망 내 잠재적 리스크를 사전에 파악하고 개선 기회를 도출하는 체계를 운영합니다. ESG 평가는 운영, 환경, 인권·노동의 3개 영역과 총 26개 세부 항목으로 구성되며, 항목별로 '예(우수), 보완(일부 운영), 아니오(미비)'의 3단계 판정 기준을 적용하여 진단합니다. 세부적으로 운영 영역에서는 ESG 경영 의지와 공급망 실사 및 모니터링, 공시 등을 평가하며, 환경 영역에서는 친환경 제품 및 공정, 기후변화, 오염 방지 등을 점검합니다. 또한 인권·노동 영역에서는 차별금지, 강제노동, 근로조건, 안전보건 및 윤리 항목을 중점적으로 확인합니다. 전체 관리 프로세스는 대상 협력사 선정, 자가진단 설문 실시, 현장방문 실사, 결과 분석 및 고위험 항목 도출, 결과 피드백 및 지원의 5단계 절차로 체계적으로 진행됩니다. 특히 평가를 통해 개선이 필요한 과제가 도출될 경우, 이를 단기와 장기로 구분하여 구체적인 이행 계획을 수립함으로써 협력사의 실질적인 ESG 역량 강화를 지원하고 있습니다. 대웅과 대웅제약 합산 기준으로 조직이 관리하고 있는 협력사 총 수는 2025년 기준 68개 사입니다.</t>
  </si>
  <si>
    <t>EBX-Q-068</t>
  </si>
  <si>
    <t>사회 / 전략 (Strategy) / 사회공헌 및 지역사회 참여 정책</t>
  </si>
  <si>
    <t>지역사회 임팩트 / 사회공헌 및 지역사회 참여 정책</t>
  </si>
  <si>
    <t>대웅제약은 사회적 책임과 첨단 기술을 결합하여 지역사회의 문제를 해결하는 ESG 경영을 추진하고 있습니다. 특히 의료 접근성이 낮은 소외지역의 건강 격차를 해소하기 위해 디지털 헬스케어 기술을 활용한 현장 의료 지원을 실시하며, 해당 지역에 지속 가능한 디지털 헬스케어 서비스를 제공하는 것을 목표로 하고 있습니다. 이를 위해 파트너사와의 협력을 통해 사회공헌 활동을 확대하고 ESG 가치를 일상에서 실천함으로써 지역사회와의 신뢰 관계를 더욱 공고히 구축해 나갈 계획입니다.</t>
  </si>
  <si>
    <t>Answer: empty / Consumer Decision: blocked_api_status / QA Grade: failed / Publication: blocked / Publication Reason: unaccepted_answer_status / Coverage: writer_empty / RAG Coverage: insufficient / Answerable: False / Evidence: insufficient</t>
  </si>
  <si>
    <t>EBX-Q-069</t>
  </si>
  <si>
    <t>사회 / 거버넌스 (Governance) / 사회공헌 관리 조직 및 체계</t>
  </si>
  <si>
    <t>지역사회 임팩트 / 사회공헌 관리 조직 및 체계</t>
  </si>
  <si>
    <t>EBX-Q-070</t>
  </si>
  <si>
    <t>사회 / 위험 관리 (Risk Management) / 지역사회 영향 및 관계 관리</t>
  </si>
  <si>
    <t>지역사회 임팩트 / 지역사회 영향 및 관계 관리</t>
  </si>
  <si>
    <t>대웅제약은 정의로운 전환을 위한 정책과 절차 및 책임을 규정하여 사업 활동이 지역사회에 미치는 영향을 체계적으로 관리하고 있습니다. 특히 정의로운 전환 과정에서 지역사회에 미치는 영향을 사전에 평가하고, 이를 바탕으로 지역사회의 요구를 반영한 실질적인 조치를 취함으로써 이해관계자와의 관계를 관리합니다. 또한 전환 과정에서 발생할 수 있는 고용 손실을 최소화하기 위한 구체적인 계획을 수립하여 운영하고 있습니다. 영향을 받는 노동자를 대상으로 재취업 교육이나 기술 훈련 등을 제공함으로써 사회적 충격을 완화하고 지역사회의 지속 가능성을 높이는 데 주력하고 있습니다.</t>
  </si>
  <si>
    <t>대웅제약은 정의로운 전환 과정에서 지역사회에 미치는 영향을 사전에 평가하고, 지역사회의 요구를 반영한 조치를 취하고 있습니다.</t>
  </si>
  <si>
    <t>EBX-Q-071</t>
  </si>
  <si>
    <t>사회 / 지표 (Metrics) / 사회공헌 활동 및 투자 현황</t>
  </si>
  <si>
    <t>지역사회 임팩트 / 사회공헌 활동 및 투자 현황</t>
  </si>
  <si>
    <t>대웅제약은 지역사회의 실질적인 어려움을 해결하고 사회적 가치를 창출하기 위해 맞춤형 사회공헌 활동을 전개하고 있습니다. 특히 재난 피해 지역의 조속한 일상 회복을 돕기 위해 경북, 경남, 울산 지역의 대형 산불 피해 이재민을 대상으로 구호 활동을 수행하였습니다. 안동, 의성, 청송, 영양, 영덕 등 5개 시군에 걸쳐 의약품 약 5,000개, 공산품 1만여 개, 건강기능식품 약 5,000개로 구성된 총 5,000세트의 구호 물품을 임시 조립주택 거주자에게 전달하였으며, 이를 통해 임시 시설에서 생활 중인 약 4,200명의 수혜자가 건강한 일상으로 복귀할 수 있도록 지원하였습니다. 이러한 사회적 책임 이행 노력은 투자 규모와 임직원 참여도의 지속적인 증가로 나타나고 있습니다. 2025년 기준 매출액 대비 사회공헌 투자 비율은 0.434501847411701%를 기록하며 2022년 0.024841987427882545%, 2023년 0.2%, 2024년 0.2508848478230885% 대비 꾸준한 상승세를 보이고 있습니다. 임직원의 자발적인 참여 또한 활성화되어 2025년 연간 참여 인원은 35.0명, 총 참여 시간은 280.0시간을 달성하였습니다. 특히 1인당 참여 시간은 2023년과 2024년 2.0시간에서 2025년 8.0시간으로 크게 확대되어, 임직원들이 지역사회 임팩트 창출에 더욱 깊이 있게 기여하고 있는 것으로 확인됩니다.</t>
  </si>
  <si>
    <t>대웅제약은 지역사회 건강 불균형 해소와 취약계층 지원을 위한 사회공헌 활동을 전개하고 있습니다. 고려대학교안산병원과 협업하여 의료 사각지대인 도서 지역(육도) 취약계층을 대상으로 지역사회 연계형 의료복지 사회공헌사업을 실행하였습니다.</t>
  </si>
  <si>
    <t>EBX-Q-072</t>
  </si>
  <si>
    <t>거버넌스 / 전략 (Strategy) / 이사회 내 위원회 운영 정책</t>
  </si>
  <si>
    <t>위원회 운영 / 이사회 내 위원회 운영 정책</t>
  </si>
  <si>
    <t>각 위원회의 구성과 권한, 운영에 관한 세부 사항은 이사회의 결의를 통해 결정하며, 위원회 운영 전반에 대해서는 관련 내부 규정을 준용하여 관리합니다. 위원회 구성의 경우, 일반적인 위원회는 2인 이상의 이사로 구성하는 것을 원칙으로 합니다. 이사회는 위원회의 설치와 위원의 선임 및 해임에 관한 권한을 가지며, 이와 더불어 대표이사의 선임 및 해임, 주주총회의 승인을 요하는 사항의 제안, 그리고 정관에서 정하는 주요 사항들을 심의하고 결정하는 체계를 갖추고 있습니다.</t>
  </si>
  <si>
    <t>대웅은 신속하고 효율적인 의사결정을 위하여 정관이 정한 바에 따라 이사회 내에 인사보상위원회, 감사위원회, 독립이사후보추천위원회 및 기타 각종 위원회를 설치할 수 있습니다. 위원회는 2인 이상의 이사로 구성하되, 감사위원회의 경우에는 3인 이상의 이사로 구성하며, 위원회 결의를 통해 위원회를 대표할 자를 선정합니다. 각 위원회의 구성, 권한, 운영 및 세부 운영에 관한 사항은 이사회의 결의로 정합니다.</t>
  </si>
  <si>
    <t>EBX-Q-073</t>
  </si>
  <si>
    <t>거버넌스 / 거버넌스 (Governance) / 위원회 구성 및 운영 체계</t>
  </si>
  <si>
    <t>위원회 운영 / 위원회 구성 및 운영 체계</t>
  </si>
  <si>
    <t>대웅제약은 이사회 산하 위원회를 통해 경영 의사결정의 전문성을 강화하고 기업 거버넌스의 투명성을 제고하고 있습니다. 위원회는 2인 이상의 이사로 구성하여 운영하며, 각 위원회는 자체 결의를 통해 위원회를 대표할 자를 선정함으로써 책임 있는 운영 체계를 유지하고 있습니다. 위원회는 기업 경영의 핵심적인 사항을 심의하고 감독하기 위해 주주총회의 승인이 필요한 사항에 대한 제안권을 행사하며, 대표이사의 선임 및 해임과 같은 주요 인사 결정 과정에 참여하여 경영진에 대한 견제와 균형을 도모합니다. 또한, 조직의 효율적인 운영을 위해 새로운 위원회의 설치와 위원의 선임 및 해임을 결정하며, 정관에서 정하는 주요 제반 사항들을 면밀히 검토하고 심의하는 역할을 수행합니다. 위원회 운영의 독립성과 체계적인 관리를 위해 세부적인 운영 방식에 관한 사항은 이사회에서 별도로 정하여 시행하고 있습니다.</t>
  </si>
  <si>
    <t>대웅제약의 위원회는 2인 이상의 이사로 구성하며, 감사위원회의 경우에는 3인 이상의 이사로 구성합니다. 위원회는 결의를 통해 위원회를 대표할 자를 선정하며, 세부 운영에 관한 사항은 이사회에서 별도로 정합니다.</t>
  </si>
  <si>
    <t>EBX-Q-074</t>
  </si>
  <si>
    <t>거버넌스 / 위험 관리 (Risk Management) / 위원회 운영 관련 리스크 관리</t>
  </si>
  <si>
    <t>위원회 운영 / 위원회 운영 관련 리스크 관리</t>
  </si>
  <si>
    <t>해당 위원회는 모든 신규 내부거래 항목을 비롯하여 기존 거래 중 시장가 등 가격이나 거래 관계의 역할이 변경된 항목에 대해 심의 및 의결을 수행합니다. 또한 분기별로 내부거래 현황과 점검 결과를 보고받으며, 내·외부 정기점검을 통해 리스크가 있다고 판단되는 거래에 대해서는 재심의 및 시정조치를 건의함으로써 위원회 운영의 실효성과 리스크 관리 체계를 강화하고 있습니다.</t>
  </si>
  <si>
    <t>EBX-Q-075</t>
  </si>
  <si>
    <t>거버넌스 / 지표 (Metrics) / 위원회 개최 및 활동 현황</t>
  </si>
  <si>
    <t>위원회 운영 / 위원회 개최 및 활동 현황</t>
  </si>
  <si>
    <t>대웅제약 대표이사가 위원장을 맡고 있는 EHS경영위원회는 그룹사별 환경안전보건 운영 전략과 주요 이슈 및 개선사항을 심의하는 의사결정 기구로 운영되고 있습니다. 해당 위원회는 반기 1회 이상 정기적으로 개최하며 필요 시 수시로 소집하고 있으며, 2025년에는 3월 20일과 10월 22일에 각각 회의를 진행하였습니다. 위원회 활동을 통해 상반기 11개, 하반기 12개로 총 23개의 안건을 논의하였으며, 주요 심의 사항으로는 환경안전보건 사업계획 및 거버넌스 현황, 탄소중립 및 에너지 절감 성과 보고, 임직원 안전사고 재발방지 방안 등이 다루어졌습니다. 아울러 대표이사를 포함한 6인으로 구성된 대웅그룹 이사회는 매년 그룹사의 환경안전 경영방침과 조직 현황, 활동 실적, KPI, 예산 및 환경안전보건 사업계획 등을 검토하고 승인하고 있습니다. EHS경영위원회는 매년 2회 이상 환경안전보건 활동 결과를 이사회에 보고함으로써 전사적인 환경안전보건 경영 체계를 공고히 하고 있습니다.</t>
  </si>
  <si>
    <t>주요 심의 안건으로는 환경안전보건 사업계획, 환경안전보건 거버넌스 현황, 탄소중립 및 에너지절감 성과보고, 임직원 안전사고 재발방지 방안 등이 포함되었습니다.</t>
  </si>
  <si>
    <t>EBX-Q-076</t>
  </si>
  <si>
    <t>거버넌스 / 전략 (Strategy) / 이사회 구성 및 독립성 정책</t>
  </si>
  <si>
    <t>이사회 구성 / 이사회 구성 및 독립성 정책</t>
  </si>
  <si>
    <t>대웅제약은 이사회의 독립성과 전문성을 체계적으로 확보하여 투명한 경영 체계를 구축하기 위해 명확한 구성 원칙과 운영 정책을 수립하여 시행하고 있습니다. 이사회는 최소 3명에서 최대 9명 이내의 이사로 구성하며, 특히 이사 총수의 3분의 1 이상을 독립이사로 선임함으로써 경영진에 대한 실질적인 감시와 견제 기능을 강화하고 의사결정의 객관성을 높이는 데 주력하고 있습니다. 이사의 임기 관리 측면에서는 보선에 의해 선임된 이사의 임기를 전임자의 잔여 임기로 규정함으로써 이사회 운영의 일관성과 연속성을 유지하고 있습니다. 이는 갑작스러운 이사 결원 발생 시에도 안정적인 거버넌스 체계를 유지하고 경영 공백을 최소화하기 위한 조치입니다. 더불어 이사회 내 설치된 위원회의 전문성과 독립성을 보장하기 위해 구체적인 구성 기준을 적용하고 있습니다. 위원회 위원의 선임과 해임 권한은 이사회에 부여하여 절차적 정당성을 확보하고 있으며, 각 위원회는 2인 이상의 이사로 구성하는 것을 원칙으로 합니다. 특히 위원회 구성원의 과반수를 독립이사로 배치하도록 하여, 특정 이해관계에 얽매이지 않는 독립적인 심의와 의결이 이루어질 수 있는 거버넌스 체계를 구축하고 있습니다. 이러한 이사회 및 위원회의 구성 정책은 기업 경영의 투명성을 제고하고 주주 가치를 보호하기 위한 전략적 기반이 되고 있습니다.</t>
  </si>
  <si>
    <t>대웅의 이사회는 3명 이상 9명 이내의 이사로 구성하며, 이사 총수의 3분의 1 이상을 독립이사로 구성하여 독립성을 확보하고 있습니다. 또한, 독립이사 후보추천위원회는 2인 이상의 이사로 구성하되 위원의 과반수를 독립이사로 선임하며, 상법상 권리를 행사할 수 있는 요건을 갖춘 주주가 추천한 후보를 포함하여 후보자를 결정합니다.</t>
  </si>
  <si>
    <t>EBX-Q-077</t>
  </si>
  <si>
    <t>거버넌스 / 거버넌스 (Governance) / 이사회 운영 체계</t>
  </si>
  <si>
    <t>이사회 구성 / 이사회 운영 체계</t>
  </si>
  <si>
    <t>대웅제약의 이사회는 이사 전원으로 구성되며, 회사의 업무집행 및 주요 사항을 의결하는 역할을 수행합니다. 이사회의 운영과 관련한 세부 사항은 법령 또는 정관에 정해진 것 외에는 내부 규정에 따라 관리하고 있습니다. 이사회 회의 체계는 운영 목적과 성격에 따라 정기이사회와 임시이사회로 구분하여 운영하고 있습니다. 이를 통해 이사회는 구성원 전원이 참여하여 회사의 주요 의사결정 사항을 심의하고 의결함으로써 책임 있는 경영 감독 체계를 유지하고 있습니다.</t>
  </si>
  <si>
    <t>대웅의 이사회는 이사 전원으로 구성됩니다. 이사회의 의장은 이사회에서 정하며, 의장 유고 시에는 의장이 이사가 직무를 대행하거나 이사회에서 이사가 대행합니다. 또한, 이사회는 제반 업무 처리를 위해 의장이 지명하는 간사 1인을 둘 수 있습니다.</t>
  </si>
  <si>
    <t>EBX-Q-078</t>
  </si>
  <si>
    <t>거버넌스 / 위험 관리 (Risk Management) / 이사회 운영 관련 리스크 관리</t>
  </si>
  <si>
    <t>이사회 구성 / 이사회 운영 관련 리스크 관리</t>
  </si>
  <si>
    <t>대웅제약은 이사회의 독립성을 유지하고 경영진의 의사결정을 객관적으로 검토하여 합리적인 견제 역할을 수행함으로써 이사회 운영 관련 리스크를 관리하고 있습니다. 특히 재무적 관점과 기술적 관점을 통합한 R&amp;D 투자 효율성 및 리스크 관리 역량을 보유하여, 신약 파이프라인의 연구 개발 과정에서 발생 가능한 리스크를 선제적으로 파악하고 이에 대응하는 전략 수립에 기여하고 있습니다.</t>
  </si>
  <si>
    <t>대웅제약은 사외이사의 리스크 관리 수행, 경영진 감독, 안건 검토 수준 및 전문성 기반 자문 등을 종합적으로 고려하여 이사회 평가를 실시하고 있습니다. 특히 R&amp;D 위원회 활동을 통해 신약 파이프라인의 연구 개발 과정에서 발생 가능한 리스크를 선제적으로 파악하고 대응 전략 수립에 기여하며, 경영진의 의사결정을 객관적으로 검토하여 합리적인 견제 역할을 수행함으로써 이사회의 독립성을 유지하고 리스크를 관리하고 있습니다.</t>
  </si>
  <si>
    <t>EBX-Q-079</t>
  </si>
  <si>
    <t>거버넌스 / 지표 (Metrics) / 이사회 구성 및 활동 현황</t>
  </si>
  <si>
    <t>이사회 구성 / 이사회 구성 및 활동 현황</t>
  </si>
  <si>
    <t>대웅제약의 이사회는 대표이사를 포함하여 구성되어 있으며, 2025년 기준 총 7명의 이사로 운영하며 기업 경영의 핵심적인 의사결정을 수행하고 있습니다. 이사회는 기업의 지속가능한 성장을 위해 매년 대웅 그룹사의 환경안전 경영방침을 비롯하여 조직현황, 활동실적, KPI, 예산 및 환경안전보건사업계획 등을 면밀히 검토하고 승인함으로써 전사적인 경영 관리 체계를 강화하고 있습니다. 또한, 환경안전보건 분야의 신속하고 효율적인 의사결정을 지원하기 위해 대웅제약 대표이사가 위원장을 맡는 EHS경영위원회를 별도로 운영하고 있습니다. EHS경영위원회는 반기 1회 이상 정기적으로 개최하는 것을 원칙으로 하며, 필요 시 수시 소집을 통해 그룹사별 EHS 운영 전략과 주요 이슈 및 개선사항에 대해 심도 있게 심의합니다. 2025년에는 상반기 3월 20일과 하반기 10월 22일에 위원회를 개최하여 실질적인 환경안전보건 경영 활동을 추진하였으며, 이를 통해 그룹 전반의 안전보건 관리 수준을 제고하고 리스크 대응 역량을 강화하고 있습니다.</t>
  </si>
  <si>
    <t>EBX-Q-080</t>
  </si>
  <si>
    <t>거버넌스 / 전략 (Strategy) / ESG 운영 체계 및 추진 전략</t>
  </si>
  <si>
    <r>
      <rPr>
        <sz val="9"/>
        <rFont val="맑은 고딕"/>
        <family val="3"/>
        <charset val="129"/>
      </rPr>
      <t xml:space="preserve">ESG </t>
    </r>
    <r>
      <rPr>
        <sz val="9"/>
        <rFont val="Noto Sans CJK SC"/>
        <family val="2"/>
      </rPr>
      <t xml:space="preserve">운영 체계 </t>
    </r>
    <r>
      <rPr>
        <sz val="9"/>
        <rFont val="맑은 고딕"/>
        <family val="3"/>
        <charset val="129"/>
      </rPr>
      <t xml:space="preserve">/ ESG </t>
    </r>
    <r>
      <rPr>
        <sz val="9"/>
        <rFont val="Noto Sans CJK SC"/>
        <family val="2"/>
      </rPr>
      <t>운영 체계 및 추진 전략</t>
    </r>
  </si>
  <si>
    <t>대웅제약은 공정거래 관련 법규를 자율적으로 준수하고 투명한 경영 환경을 조성하기 위해 CP(공정거래자율준수프로그램)를 운영하고 있습니다. 이를 위해 CP 전담조직을 중심으로 교육, 모니터링, 제재, 평가로 이어지는 통합적인 관리 체계를 구축하여 준법 경영의 실효성을 확보하고 있습니다. 실행 단계에서는 CP위원회를 통해 주요 의사결정을 수행하며, 제품설명회에 대한 상시 점검을 실시하여 현장의 법규 준수 여부를 면밀히 관리하고 있습니다. 특히 규정 위반자에 대해서는 엄격한 징계조치를 수행함으로써 내부 통제 기능을 강화하고 전사적인 자율 준수 문화를 정착시키는 데 주력하고 있습니다.</t>
  </si>
  <si>
    <t>EBX-Q-081</t>
  </si>
  <si>
    <t>거버넌스 / 거버넌스 (Governance) / ESG 전담 조직 및 관리 체계</t>
  </si>
  <si>
    <r>
      <rPr>
        <sz val="9"/>
        <rFont val="맑은 고딕"/>
        <family val="3"/>
        <charset val="129"/>
      </rPr>
      <t xml:space="preserve">ESG </t>
    </r>
    <r>
      <rPr>
        <sz val="9"/>
        <rFont val="Noto Sans CJK SC"/>
        <family val="2"/>
      </rPr>
      <t xml:space="preserve">운영 체계 </t>
    </r>
    <r>
      <rPr>
        <sz val="9"/>
        <rFont val="맑은 고딕"/>
        <family val="3"/>
        <charset val="129"/>
      </rPr>
      <t xml:space="preserve">/ ESG </t>
    </r>
    <r>
      <rPr>
        <sz val="9"/>
        <rFont val="Noto Sans CJK SC"/>
        <family val="2"/>
      </rPr>
      <t>전담 조직 및 관리 체계</t>
    </r>
  </si>
  <si>
    <t>대웅제약은 이사회의 최종 감독 하에 ESG경영위원회가 공급망 지속가능 경영의 방향성을 수립하는 거버넌스 체계를 운영하고 있습니다. 실무 추진을 위해 ESG 팀 내에 공급망 관리를 전담하는 역할을 명확히 설정하였으며, ESG 전담부서와 구매·조달 부서가 긴밀하게 협업하여 실행력을 확보하고 있습니다. 또한, 지속가능한 공급망 생태계 구축을 목표로 단계별 로드맵을 추진하고 있습니다. 2025년부터 2026년까지는 영역별 평가 기준 마련과 운영 및 관리 체계, 공급망 관리 체계를 구축하고, 2027년부터 2028년까지는 협력회사 역량 강화 프로그램 확대와 리스크 관리 강화 및 체계 고도화를 추진할 계획입니다. 이후 2029년에는 이를 자회사 및 해외 법인으로 확산하여 통합적인 공급망 관리 체계를 완성하고자 합니다.</t>
  </si>
  <si>
    <t>대웅제약은 이사회의 최종 감독 아래 ESG경영위원회가 ESG 경영의 방향성을 수립하고, ESG 전담부서가 실무를 수행하는 관리 체계를 운영하고 있습니다. 특히 공급망 지속가능 경영을 위해 ESG 팀 내에 전담 역할을 설정하여 구매 조달 부서와 긴밀하게 협업하고 있습니다. 또한, 공정거래 자율준수프로그램(CP) 운영을 위해 9명 규모의 CP 전담조직을 중심으로 교육, 모니터링, 제재, 평가 체계를 구축하여 준법경영을 강화하고 있습니다.</t>
  </si>
  <si>
    <t>EBX-Q-082</t>
  </si>
  <si>
    <t>거버넌스 / 위험 관리 (Risk Management) / ESG 운영 관련 리스크 관리</t>
  </si>
  <si>
    <r>
      <rPr>
        <sz val="9"/>
        <rFont val="맑은 고딕"/>
        <family val="3"/>
        <charset val="129"/>
      </rPr>
      <t xml:space="preserve">ESG </t>
    </r>
    <r>
      <rPr>
        <sz val="9"/>
        <rFont val="Noto Sans CJK SC"/>
        <family val="2"/>
      </rPr>
      <t xml:space="preserve">운영 체계 </t>
    </r>
    <r>
      <rPr>
        <sz val="9"/>
        <rFont val="맑은 고딕"/>
        <family val="3"/>
        <charset val="129"/>
      </rPr>
      <t xml:space="preserve">/ ESG </t>
    </r>
    <r>
      <rPr>
        <sz val="9"/>
        <rFont val="Noto Sans CJK SC"/>
        <family val="2"/>
      </rPr>
      <t>운영 관련 리스크 관리</t>
    </r>
  </si>
  <si>
    <t>대웅제약은 ESG 경영 체계의 안정적인 실행과 잠재적 리스크 최소화를 위해 리스크 유형별 관리 정책을 수립하고 전문적인 대응 체계를 운영하고 있습니다. 법규 및 윤리 리스크 관리를 위해 국내외 법규와 규정을 철저히 준수하고 기업 윤리를 강화함으로써 법적 리스크를 최소화하는 데 주력하고 있습니다. 특히 부패 방지에 대한 국내외 요구사항에 선제적으로 대응하기 위해 ISO 37001(부패방지경영시스템) 인증을 취득하였으며, 이를 통해 국제 표준에 기반한 경영 시스템을 구축하고 실질적인 운영을 이어가고 있습니다. 운영 리스크 관리 측면에서는 에너지 경영의 효율성을 높이고 체계적인 관리 기반을 마련하고자 ISO 50001(에너지경영시스템) 인증을 신규로 취득하여 운영 리스크 대응 역량을 강화하였습니다. 또한, 중대재해 발생 시 신속하고 체계적인 대응을 통해 리스크를 완화하기 위해 CEO가 TFT장을 맡는 중대재해 TFT를 구성하여 운영하고 있습니다. 해당 조직은 지휘팀, 조사팀, 대응팀, 지원팀의 4개 팀으로 역할을 세분화하여 편성하였습니다. 이를 통해 위험 요소의 도출부터 현장 보존 및 통제, 사고 조사 지원, 언론 모니터링을 통한 대외 대응, 인력 및 자금 지원을 포함한 보상 협의, 그리고 법무실의 상시 지원체계에 이르기까지 전 과정의 리스크를 관리하고 완화 조치를 이행하고 있습니다. 아울러 대웅제약은 ESG 공시 업무의 전문성을 제고하고 대외 대응 체계를 더욱 공고히 하기 위해 2025년 공시 담당 부서를 기존 재무팀에서 IR팀으로 변경하여 운영함으로써 거버넌스 운영 리스크를 관리하고 공시 체계의 효율성을 높였습니다.</t>
  </si>
  <si>
    <t>대웅제약은 국내외 법규 및 규정 준수와 기업 윤리 강화를 통해 법규 리스크를 최소화하고 있습니다. 부패 리스크에 효과적으로 대처하기 위해 ISO 37001(부패방지경영시스템) 인증을 취득하여 국제 표준 기반의 경영 시스템을 운영 중이며, 공정거래자율준수프로그램(CP)을 통해 공정경쟁 시스템 구축과 대내외 신뢰 제고를 도모하고 있습니다. 또한, 운영 리스크 관리의 일환으로 ISO 50001(에너지경영시스템) 인증을 신규 취득하였습니다.</t>
  </si>
  <si>
    <t>EBX-Q-083</t>
  </si>
  <si>
    <t>거버넌스 / 지표 (Metrics) / ESG 운영 성과 및 목표 이행 현황</t>
  </si>
  <si>
    <r>
      <rPr>
        <sz val="9"/>
        <rFont val="맑은 고딕"/>
        <family val="3"/>
        <charset val="129"/>
      </rPr>
      <t xml:space="preserve">ESG </t>
    </r>
    <r>
      <rPr>
        <sz val="9"/>
        <rFont val="Noto Sans CJK SC"/>
        <family val="2"/>
      </rPr>
      <t xml:space="preserve">운영 체계 </t>
    </r>
    <r>
      <rPr>
        <sz val="9"/>
        <rFont val="맑은 고딕"/>
        <family val="3"/>
        <charset val="129"/>
      </rPr>
      <t xml:space="preserve">/ ESG </t>
    </r>
    <r>
      <rPr>
        <sz val="9"/>
        <rFont val="Noto Sans CJK SC"/>
        <family val="2"/>
      </rPr>
      <t>운영 성과 및 목표 이행 현황</t>
    </r>
  </si>
  <si>
    <t>Answer: empty / Consumer Decision: blocked_qa / QA Grade: failed / Publication: blocked / Publication Reason: qa_not_passed / Coverage: writer_empty / RAG Coverage: complete / Answerable: True / Evidence: medium_confidence</t>
  </si>
  <si>
    <t>EBX-Q-084</t>
  </si>
  <si>
    <t>거버넌스 / 전략 (Strategy) / 컴플라이언스 정책 및 목표</t>
  </si>
  <si>
    <t>컴플라이언스 / 컴플라이언스 정책 및 목표</t>
  </si>
  <si>
    <t>대웅그룹 정보보호팀은 글로벌 사업과 영업, 생산, 연구 활동의 지속가능성을 뒷받침하는 핵심 경영 인프라 조직으로서, 보안 위협으로 인한 사업 중단 리스크를 최소화하여 안정적인 비즈니스를 지원하는 것을 궁극적인 목표로 삼고 있습니다. 이를 위해 비즈니스 및 근무 환경에 최적화된 보안 기준과 원칙을 수립하고, 임직원이 이를 명확히 이해하고 동참할 수 있도록 전파함으로써 자발적인 보안 문화 정착을 추진하고 있습니다. 대웅제약은 국내 제약업계 최고 수준의 보안 역량을 넘어 글로벌 리딩 제약 기업 수준의 보안 체계 진입을 목표로 중장기 로드맵을 수립하여 운영 중입니다. 특히 거버넌스 및 컴플라이언스 고도화와 첨단 보안기술 및 혁신 인프라 구축 단계를 거쳐 글로벌 top-tier 정보보안 수준을 달성한다는 전략적 마일스톤을 설정하였으며, 목표와 이행계획을 구체화하여 로드맵을 개정하였습니다. 실행 측면에서는 국가핵심기술 보호와 해외 법인의 보안 체계 구축을 통해 글로벌 성장의 기반을 강화하고 있습니다. 또한, 정보보안관리 시스템인 ISO 27001과 개인정보 보호 경영 시스템인 ISO 27701 인증을 갱신하며 제약업계 최초로 두 인증을 3년 연속 획득함으로써, 철저한 컴플라이언스 대응을 통해 고객, 파트너 및 규제기관의 신뢰를 확보하고 있습니다.</t>
  </si>
  <si>
    <t>EBX-Q-085</t>
  </si>
  <si>
    <t>거버넌스 / 거버넌스 (Governance) / 컴플라이언스 관리 조직 및 체계</t>
  </si>
  <si>
    <t>컴플라이언스 / 컴플라이언스 관리 조직 및 체계</t>
  </si>
  <si>
    <t>대웅그룹 정보보호팀은 단순한 보안 운영의 차원을 넘어 글로벌 사업과 영업, 생산, 연구 활동의 지속가능성을 뒷받침하는 핵심 경영 인프라 조직으로서 준법 관리 체계를 구축하여 운영하고 있습니다. 당사는 비즈니스 특성과 근무 환경에 최적화된 보안 기준 및 원칙을 수립하고, 이를 모든 임직원이 명확하게 이해하고 실천할 수 있도록 전파함으로써 조직 내 자발적인 보안 문화가 정착될 수 있도록 이끌고 있습니다. 특히 국가핵심기술 보호 체계를 강화하고 해외 법인의 보안 체계를 구축함으로써 글로벌 성장을 위한 안정적인 기반을 다지는 데 주력하고 있습니다. 이와 더불어 철저한 컴플라이언스 대응과 국제 표준 인증 유지를 통해 규제기관은 물론 고객 및 파트너사로부터 높은 신뢰를 확보하고 있습니다. 이러한 준법 감시 및 관리 체계의 운영 성과로, 정보보안관리 시스템인 ISO 27001과 개인정보 보호 경영 시스템인 ISO 27701 인증을 성공적으로 갱신하였습니다. 이를 통해 대웅제약은 제약업계 최초로 두 가지 국제 표준 인증을 3년 연속 획득하며 정보보호 및 개인정보 보호 분야의 전문적인 관리 역량을 입증하였습니다.</t>
  </si>
  <si>
    <t>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연구 활동의 지속가능성을 뒷받침하는 핵심 경영 인프라 조직입니다. 정보보호 목표 정보보호 전담조직 정보보안</t>
  </si>
  <si>
    <t>EBX-Q-086</t>
  </si>
  <si>
    <t>거버넌스 / 위험 관리 (Risk Management) / 법규 준수 관련 리스크 관리</t>
  </si>
  <si>
    <t>컴플라이언스 / 법규 준수 관련 리스크 관리</t>
  </si>
  <si>
    <r>
      <rPr>
        <sz val="9"/>
        <rFont val="맑은 고딕"/>
        <family val="3"/>
        <charset val="129"/>
      </rPr>
      <t xml:space="preserve">EHS </t>
    </r>
    <r>
      <rPr>
        <sz val="9"/>
        <rFont val="Noto Sans CJK SC"/>
        <family val="2"/>
      </rPr>
      <t>전담조직을 중심으로 최신 환경 법령 및 규제 동향을 상시 모니터링하고 있으며</t>
    </r>
    <r>
      <rPr>
        <sz val="9"/>
        <rFont val="맑은 고딕"/>
        <family val="3"/>
        <charset val="129"/>
      </rPr>
      <t xml:space="preserve">, </t>
    </r>
    <r>
      <rPr>
        <sz val="9"/>
        <rFont val="Noto Sans CJK SC"/>
        <family val="2"/>
      </rPr>
      <t>각 사업장의 특성을 반영한 관리 프로세스를 구축하여 법적 요구사항이 현장에서 실질적으로 이행될 수 있도록 체계적으로 관리하고 있습니다</t>
    </r>
    <r>
      <rPr>
        <sz val="9"/>
        <rFont val="맑은 고딕"/>
        <family val="3"/>
        <charset val="129"/>
      </rPr>
      <t xml:space="preserve">. </t>
    </r>
    <r>
      <rPr>
        <sz val="9"/>
        <rFont val="Noto Sans CJK SC"/>
        <family val="2"/>
      </rPr>
      <t>대웅제약은 국내외 법규 및 규정을 철저히 준수하고 기업 윤리를 강화함으로써 법규 리스크를 최소화하는 것을 기본 원칙으로 삼고 있습니다</t>
    </r>
    <r>
      <rPr>
        <sz val="9"/>
        <rFont val="맑은 고딕"/>
        <family val="3"/>
        <charset val="129"/>
      </rPr>
      <t xml:space="preserve">. </t>
    </r>
    <r>
      <rPr>
        <sz val="9"/>
        <rFont val="Noto Sans CJK SC"/>
        <family val="2"/>
      </rPr>
      <t>특히 글로벌 사업 확장에 따른 조세 리스크 관리에 역량을 집중하고 있습니다</t>
    </r>
    <r>
      <rPr>
        <sz val="9"/>
        <rFont val="맑은 고딕"/>
        <family val="3"/>
        <charset val="129"/>
      </rPr>
      <t xml:space="preserve">. </t>
    </r>
    <r>
      <rPr>
        <sz val="9"/>
        <rFont val="Noto Sans CJK SC"/>
        <family val="2"/>
      </rPr>
      <t>국가별로 상이한 세법 체계와 조세 정책의 의도를 명확히 분석하여 세무 리스크를 사전에 식별하고</t>
    </r>
    <r>
      <rPr>
        <sz val="9"/>
        <rFont val="맑은 고딕"/>
        <family val="3"/>
        <charset val="129"/>
      </rPr>
      <t xml:space="preserve">, </t>
    </r>
    <r>
      <rPr>
        <sz val="9"/>
        <rFont val="Noto Sans CJK SC"/>
        <family val="2"/>
      </rPr>
      <t>이에 따른 예방 조치를 선제적으로 취함으로써 조세 관련 법규 위반 가능성을 효과적으로 제어하고 있습니다</t>
    </r>
    <r>
      <rPr>
        <sz val="9"/>
        <rFont val="맑은 고딕"/>
        <family val="3"/>
        <charset val="129"/>
      </rPr>
      <t xml:space="preserve">. </t>
    </r>
    <r>
      <rPr>
        <sz val="9"/>
        <rFont val="Noto Sans CJK SC"/>
        <family val="2"/>
      </rPr>
      <t>이러한 리스크 평가 과정에서는 외부 세무 전문가의 전문적인 자문과 과세 당국의 조언을 적극적으로 활용하며</t>
    </r>
    <r>
      <rPr>
        <sz val="9"/>
        <rFont val="맑은 고딕"/>
        <family val="3"/>
        <charset val="129"/>
      </rPr>
      <t xml:space="preserve">, </t>
    </r>
    <r>
      <rPr>
        <sz val="9"/>
        <rFont val="Noto Sans CJK SC"/>
        <family val="2"/>
      </rPr>
      <t>이를 바탕으로 객관적이고 합리적인 의사결정을 내리는 프로세스를 운영 중입니다</t>
    </r>
    <r>
      <rPr>
        <sz val="9"/>
        <rFont val="맑은 고딕"/>
        <family val="3"/>
        <charset val="129"/>
      </rPr>
      <t xml:space="preserve">. </t>
    </r>
    <r>
      <rPr>
        <sz val="9"/>
        <rFont val="Noto Sans CJK SC"/>
        <family val="2"/>
      </rPr>
      <t>법규 준수 실효성을 높이기 위한 구체적인 실행 체계로는 법규 검토 결과를 실제 업무에 반영하고</t>
    </r>
    <r>
      <rPr>
        <sz val="9"/>
        <rFont val="맑은 고딕"/>
        <family val="3"/>
        <charset val="129"/>
      </rPr>
      <t xml:space="preserve">, </t>
    </r>
    <r>
      <rPr>
        <sz val="9"/>
        <rFont val="Noto Sans CJK SC"/>
        <family val="2"/>
      </rPr>
      <t>준수 방안 검토를 통해 도출된 개선안을 현장에 적용하는 환류 체계를 가동하고 있습니다</t>
    </r>
    <r>
      <rPr>
        <sz val="9"/>
        <rFont val="맑은 고딕"/>
        <family val="3"/>
        <charset val="129"/>
      </rPr>
      <t xml:space="preserve">. </t>
    </r>
    <r>
      <rPr>
        <sz val="9"/>
        <rFont val="Noto Sans CJK SC"/>
        <family val="2"/>
      </rPr>
      <t>또한 부서별로 세부 실행계획을 수립하여 이행 상태를 점검하고</t>
    </r>
    <r>
      <rPr>
        <sz val="9"/>
        <rFont val="맑은 고딕"/>
        <family val="3"/>
        <charset val="129"/>
      </rPr>
      <t xml:space="preserve">, </t>
    </r>
    <r>
      <rPr>
        <sz val="9"/>
        <rFont val="Noto Sans CJK SC"/>
        <family val="2"/>
      </rPr>
      <t>임직원을 대상으로 한 법규 준수 교육을 실시하여 준법 의식을 내재화하고 있습니다</t>
    </r>
    <r>
      <rPr>
        <sz val="9"/>
        <rFont val="맑은 고딕"/>
        <family val="3"/>
        <charset val="129"/>
      </rPr>
      <t xml:space="preserve">. </t>
    </r>
    <r>
      <rPr>
        <sz val="9"/>
        <rFont val="Noto Sans CJK SC"/>
        <family val="2"/>
      </rPr>
      <t>아울러 관련 부서 간의 긴밀한 협력 조치를 통해 법규 위반 리스크를 다각도로 예방하고 관리 효율성을 지속적으로 제고하고 있습니다</t>
    </r>
    <r>
      <rPr>
        <sz val="9"/>
        <rFont val="맑은 고딕"/>
        <family val="3"/>
        <charset val="129"/>
      </rPr>
      <t>.</t>
    </r>
  </si>
  <si>
    <t>대웅제약은 국내외 법규 및 규정을 철저히 준수하고 기업 윤리를 강화하여 법규 리스크를 최소화하고 있습니다. 부패 방지를 위해 ISO 37001(부패방지경영시스템) 인증을 취득하여 국제 표준 기반의 경영 시스템을 운영하고 있으며, 공정거래자율준수프로그램(CP) 전담 조직을 설치하여 불공정 거래 리스크를 제거하고 있습니다. 조세 리스크 관리를 위해 외부 전문가 자문과 과세 당국의 조언을 바탕으로 리스크를 평가하며, 조세 피난처 이용이나 조세 회피 행위를 엄격히 금지하고 시장가격 원칙을 준수하여 이중과세 위험을 최소화합니다. 또한, EHS 전담 조직을 중심으로 최신 환경 법령 및 규제 동향을 상시 모니터링하고, 법규 입수부터 검토, 반영, 교육, 준수 상태 점검으로 이어지는 체계적인 관리 프로세스를 운영하고 있습니다.</t>
  </si>
  <si>
    <t>Answer: passed / Consumer Decision: answered / QA Grade: full / Publication: published / Publication Reason: complete_grounded_answer / Coverage: complete_grounded_answer / RAG Coverage: complete / Answerable: True / Evidence: medium_confidence</t>
  </si>
  <si>
    <t>EBX-Q-087</t>
  </si>
  <si>
    <t>거버넌스 / 지표 (Metrics) / 법규 위반 및 준법 관련 현황</t>
  </si>
  <si>
    <t>컴플라이언스 / 법규 위반 및 준법 관련 현황</t>
  </si>
  <si>
    <r>
      <rPr>
        <sz val="9"/>
        <rFont val="맑은 고딕"/>
        <family val="3"/>
        <charset val="129"/>
      </rPr>
      <t>CP</t>
    </r>
    <r>
      <rPr>
        <sz val="9"/>
        <rFont val="Noto Sans CJK SC"/>
        <family val="2"/>
      </rPr>
      <t>팀을 중심으로 법규 및 규제 위반 사항을 체계적으로 관리하며</t>
    </r>
    <r>
      <rPr>
        <sz val="9"/>
        <rFont val="맑은 고딕"/>
        <family val="3"/>
        <charset val="129"/>
      </rPr>
      <t xml:space="preserve">, </t>
    </r>
    <r>
      <rPr>
        <sz val="9"/>
        <rFont val="Noto Sans CJK SC"/>
        <family val="2"/>
      </rPr>
      <t>대웅과 대웅제약 합산 기준으로 준법 경영 현황을 면밀히 점검하고 있습니다</t>
    </r>
    <r>
      <rPr>
        <sz val="9"/>
        <rFont val="맑은 고딕"/>
        <family val="3"/>
        <charset val="129"/>
      </rPr>
      <t xml:space="preserve">. </t>
    </r>
    <r>
      <rPr>
        <sz val="9"/>
        <rFont val="Noto Sans CJK SC"/>
        <family val="2"/>
      </rPr>
      <t>회사는 경쟁저해행위 등 불공정 거래행위를 비롯하여 고객 정보 보호</t>
    </r>
    <r>
      <rPr>
        <sz val="9"/>
        <rFont val="맑은 고딕"/>
        <family val="3"/>
        <charset val="129"/>
      </rPr>
      <t xml:space="preserve">, </t>
    </r>
    <r>
      <rPr>
        <sz val="9"/>
        <rFont val="Noto Sans CJK SC"/>
        <family val="2"/>
      </rPr>
      <t>제품 정보 제공</t>
    </r>
    <r>
      <rPr>
        <sz val="9"/>
        <rFont val="맑은 고딕"/>
        <family val="3"/>
        <charset val="129"/>
      </rPr>
      <t xml:space="preserve">, </t>
    </r>
    <r>
      <rPr>
        <sz val="9"/>
        <rFont val="Noto Sans CJK SC"/>
        <family val="2"/>
      </rPr>
      <t>위조제품 관련 규정 준수</t>
    </r>
    <r>
      <rPr>
        <sz val="9"/>
        <rFont val="맑은 고딕"/>
        <family val="3"/>
        <charset val="129"/>
      </rPr>
      <t xml:space="preserve">, </t>
    </r>
    <r>
      <rPr>
        <sz val="9"/>
        <rFont val="Noto Sans CJK SC"/>
        <family val="2"/>
      </rPr>
      <t>부패 및 뇌물수수 방지 등 다양한 영역에서 발생할 수 있는 법규 및 규제 위반 리스크를 지속적으로 모니터링하고 있습니다</t>
    </r>
    <r>
      <rPr>
        <sz val="9"/>
        <rFont val="맑은 고딕"/>
        <family val="3"/>
        <charset val="129"/>
      </rPr>
      <t xml:space="preserve">. </t>
    </r>
    <r>
      <rPr>
        <sz val="9"/>
        <rFont val="Noto Sans CJK SC"/>
        <family val="2"/>
      </rPr>
      <t>대웅과 대웅제약의 합산 징계 현황을 살펴보면</t>
    </r>
    <r>
      <rPr>
        <sz val="9"/>
        <rFont val="맑은 고딕"/>
        <family val="3"/>
        <charset val="129"/>
      </rPr>
      <t>, 2025</t>
    </r>
    <r>
      <rPr>
        <sz val="9"/>
        <rFont val="Noto Sans CJK SC"/>
        <family val="2"/>
      </rPr>
      <t xml:space="preserve">년 기준 징계 합계는 </t>
    </r>
    <r>
      <rPr>
        <sz val="9"/>
        <rFont val="맑은 고딕"/>
        <family val="3"/>
        <charset val="129"/>
      </rPr>
      <t>19</t>
    </r>
    <r>
      <rPr>
        <sz val="9"/>
        <rFont val="Noto Sans CJK SC"/>
        <family val="2"/>
      </rPr>
      <t>건으로 집계되었습니다</t>
    </r>
    <r>
      <rPr>
        <sz val="9"/>
        <rFont val="맑은 고딕"/>
        <family val="3"/>
        <charset val="129"/>
      </rPr>
      <t xml:space="preserve">. </t>
    </r>
    <r>
      <rPr>
        <sz val="9"/>
        <rFont val="Noto Sans CJK SC"/>
        <family val="2"/>
      </rPr>
      <t xml:space="preserve">이는 </t>
    </r>
    <r>
      <rPr>
        <sz val="9"/>
        <rFont val="맑은 고딕"/>
        <family val="3"/>
        <charset val="129"/>
      </rPr>
      <t>2022</t>
    </r>
    <r>
      <rPr>
        <sz val="9"/>
        <rFont val="Noto Sans CJK SC"/>
        <family val="2"/>
      </rPr>
      <t xml:space="preserve">년 </t>
    </r>
    <r>
      <rPr>
        <sz val="9"/>
        <rFont val="맑은 고딕"/>
        <family val="3"/>
        <charset val="129"/>
      </rPr>
      <t>1</t>
    </r>
    <r>
      <rPr>
        <sz val="9"/>
        <rFont val="Noto Sans CJK SC"/>
        <family val="2"/>
      </rPr>
      <t>건</t>
    </r>
    <r>
      <rPr>
        <sz val="9"/>
        <rFont val="맑은 고딕"/>
        <family val="3"/>
        <charset val="129"/>
      </rPr>
      <t>, 2023</t>
    </r>
    <r>
      <rPr>
        <sz val="9"/>
        <rFont val="Noto Sans CJK SC"/>
        <family val="2"/>
      </rPr>
      <t xml:space="preserve">년 </t>
    </r>
    <r>
      <rPr>
        <sz val="9"/>
        <rFont val="맑은 고딕"/>
        <family val="3"/>
        <charset val="129"/>
      </rPr>
      <t>8</t>
    </r>
    <r>
      <rPr>
        <sz val="9"/>
        <rFont val="Noto Sans CJK SC"/>
        <family val="2"/>
      </rPr>
      <t>건</t>
    </r>
    <r>
      <rPr>
        <sz val="9"/>
        <rFont val="맑은 고딕"/>
        <family val="3"/>
        <charset val="129"/>
      </rPr>
      <t>, 2024</t>
    </r>
    <r>
      <rPr>
        <sz val="9"/>
        <rFont val="Noto Sans CJK SC"/>
        <family val="2"/>
      </rPr>
      <t xml:space="preserve">년 </t>
    </r>
    <r>
      <rPr>
        <sz val="9"/>
        <rFont val="맑은 고딕"/>
        <family val="3"/>
        <charset val="129"/>
      </rPr>
      <t>11</t>
    </r>
    <r>
      <rPr>
        <sz val="9"/>
        <rFont val="Noto Sans CJK SC"/>
        <family val="2"/>
      </rPr>
      <t>건으로 이어지며 점진적으로 증가하는 추세를 보이고 있습니다</t>
    </r>
    <r>
      <rPr>
        <sz val="9"/>
        <rFont val="맑은 고딕"/>
        <family val="3"/>
        <charset val="129"/>
      </rPr>
      <t xml:space="preserve">. </t>
    </r>
    <r>
      <rPr>
        <sz val="9"/>
        <rFont val="Noto Sans CJK SC"/>
        <family val="2"/>
      </rPr>
      <t xml:space="preserve">세부 위반 사례별로는 국내 마케팅 활동과 관련한 광고 위반 건수가 </t>
    </r>
    <r>
      <rPr>
        <sz val="9"/>
        <rFont val="맑은 고딕"/>
        <family val="3"/>
        <charset val="129"/>
      </rPr>
      <t>2025</t>
    </r>
    <r>
      <rPr>
        <sz val="9"/>
        <rFont val="Noto Sans CJK SC"/>
        <family val="2"/>
      </rPr>
      <t xml:space="preserve">년 </t>
    </r>
    <r>
      <rPr>
        <sz val="9"/>
        <rFont val="맑은 고딕"/>
        <family val="3"/>
        <charset val="129"/>
      </rPr>
      <t>1</t>
    </r>
    <r>
      <rPr>
        <sz val="9"/>
        <rFont val="Noto Sans CJK SC"/>
        <family val="2"/>
      </rPr>
      <t>건 발생하였으며</t>
    </r>
    <r>
      <rPr>
        <sz val="9"/>
        <rFont val="맑은 고딕"/>
        <family val="3"/>
        <charset val="129"/>
      </rPr>
      <t xml:space="preserve">, </t>
    </r>
    <r>
      <rPr>
        <sz val="9"/>
        <rFont val="Noto Sans CJK SC"/>
        <family val="2"/>
      </rPr>
      <t xml:space="preserve">이는 </t>
    </r>
    <r>
      <rPr>
        <sz val="9"/>
        <rFont val="맑은 고딕"/>
        <family val="3"/>
        <charset val="129"/>
      </rPr>
      <t>2022</t>
    </r>
    <r>
      <rPr>
        <sz val="9"/>
        <rFont val="Noto Sans CJK SC"/>
        <family val="2"/>
      </rPr>
      <t xml:space="preserve">년 </t>
    </r>
    <r>
      <rPr>
        <sz val="9"/>
        <rFont val="맑은 고딕"/>
        <family val="3"/>
        <charset val="129"/>
      </rPr>
      <t>2</t>
    </r>
    <r>
      <rPr>
        <sz val="9"/>
        <rFont val="Noto Sans CJK SC"/>
        <family val="2"/>
      </rPr>
      <t>건</t>
    </r>
    <r>
      <rPr>
        <sz val="9"/>
        <rFont val="맑은 고딕"/>
        <family val="3"/>
        <charset val="129"/>
      </rPr>
      <t>, 2023</t>
    </r>
    <r>
      <rPr>
        <sz val="9"/>
        <rFont val="Noto Sans CJK SC"/>
        <family val="2"/>
      </rPr>
      <t xml:space="preserve">년 </t>
    </r>
    <r>
      <rPr>
        <sz val="9"/>
        <rFont val="맑은 고딕"/>
        <family val="3"/>
        <charset val="129"/>
      </rPr>
      <t>1</t>
    </r>
    <r>
      <rPr>
        <sz val="9"/>
        <rFont val="Noto Sans CJK SC"/>
        <family val="2"/>
      </rPr>
      <t>건</t>
    </r>
    <r>
      <rPr>
        <sz val="9"/>
        <rFont val="맑은 고딕"/>
        <family val="3"/>
        <charset val="129"/>
      </rPr>
      <t>, 2024</t>
    </r>
    <r>
      <rPr>
        <sz val="9"/>
        <rFont val="Noto Sans CJK SC"/>
        <family val="2"/>
      </rPr>
      <t xml:space="preserve">년 </t>
    </r>
    <r>
      <rPr>
        <sz val="9"/>
        <rFont val="맑은 고딕"/>
        <family val="3"/>
        <charset val="129"/>
      </rPr>
      <t>0</t>
    </r>
    <r>
      <rPr>
        <sz val="9"/>
        <rFont val="Noto Sans CJK SC"/>
        <family val="2"/>
      </rPr>
      <t>건의 흐름을 나타냅니다</t>
    </r>
    <r>
      <rPr>
        <sz val="9"/>
        <rFont val="맑은 고딕"/>
        <family val="3"/>
        <charset val="129"/>
      </rPr>
      <t xml:space="preserve">. </t>
    </r>
    <r>
      <rPr>
        <sz val="9"/>
        <rFont val="Noto Sans CJK SC"/>
        <family val="2"/>
      </rPr>
      <t xml:space="preserve">또한 기타 규정 위반의 경우 </t>
    </r>
    <r>
      <rPr>
        <sz val="9"/>
        <rFont val="맑은 고딕"/>
        <family val="3"/>
        <charset val="129"/>
      </rPr>
      <t>2025</t>
    </r>
    <r>
      <rPr>
        <sz val="9"/>
        <rFont val="Noto Sans CJK SC"/>
        <family val="2"/>
      </rPr>
      <t xml:space="preserve">년 </t>
    </r>
    <r>
      <rPr>
        <sz val="9"/>
        <rFont val="맑은 고딕"/>
        <family val="3"/>
        <charset val="129"/>
      </rPr>
      <t>1</t>
    </r>
    <r>
      <rPr>
        <sz val="9"/>
        <rFont val="Noto Sans CJK SC"/>
        <family val="2"/>
      </rPr>
      <t>건이 확인되었으며</t>
    </r>
    <r>
      <rPr>
        <sz val="9"/>
        <rFont val="맑은 고딕"/>
        <family val="3"/>
        <charset val="129"/>
      </rPr>
      <t xml:space="preserve">, </t>
    </r>
    <r>
      <rPr>
        <sz val="9"/>
        <rFont val="Noto Sans CJK SC"/>
        <family val="2"/>
      </rPr>
      <t xml:space="preserve">과거 </t>
    </r>
    <r>
      <rPr>
        <sz val="9"/>
        <rFont val="맑은 고딕"/>
        <family val="3"/>
        <charset val="129"/>
      </rPr>
      <t>2022</t>
    </r>
    <r>
      <rPr>
        <sz val="9"/>
        <rFont val="Noto Sans CJK SC"/>
        <family val="2"/>
      </rPr>
      <t xml:space="preserve">년 </t>
    </r>
    <r>
      <rPr>
        <sz val="9"/>
        <rFont val="맑은 고딕"/>
        <family val="3"/>
        <charset val="129"/>
      </rPr>
      <t>1</t>
    </r>
    <r>
      <rPr>
        <sz val="9"/>
        <rFont val="Noto Sans CJK SC"/>
        <family val="2"/>
      </rPr>
      <t>건</t>
    </r>
    <r>
      <rPr>
        <sz val="9"/>
        <rFont val="맑은 고딕"/>
        <family val="3"/>
        <charset val="129"/>
      </rPr>
      <t>, 2023</t>
    </r>
    <r>
      <rPr>
        <sz val="9"/>
        <rFont val="Noto Sans CJK SC"/>
        <family val="2"/>
      </rPr>
      <t xml:space="preserve">년 </t>
    </r>
    <r>
      <rPr>
        <sz val="9"/>
        <rFont val="맑은 고딕"/>
        <family val="3"/>
        <charset val="129"/>
      </rPr>
      <t>1</t>
    </r>
    <r>
      <rPr>
        <sz val="9"/>
        <rFont val="Noto Sans CJK SC"/>
        <family val="2"/>
      </rPr>
      <t>건</t>
    </r>
    <r>
      <rPr>
        <sz val="9"/>
        <rFont val="맑은 고딕"/>
        <family val="3"/>
        <charset val="129"/>
      </rPr>
      <t>, 2024</t>
    </r>
    <r>
      <rPr>
        <sz val="9"/>
        <rFont val="Noto Sans CJK SC"/>
        <family val="2"/>
      </rPr>
      <t xml:space="preserve">년 </t>
    </r>
    <r>
      <rPr>
        <sz val="9"/>
        <rFont val="맑은 고딕"/>
        <family val="3"/>
        <charset val="129"/>
      </rPr>
      <t>3</t>
    </r>
    <r>
      <rPr>
        <sz val="9"/>
        <rFont val="Noto Sans CJK SC"/>
        <family val="2"/>
      </rPr>
      <t>건의 위반 사례가 있었습니다</t>
    </r>
    <r>
      <rPr>
        <sz val="9"/>
        <rFont val="맑은 고딕"/>
        <family val="3"/>
        <charset val="129"/>
      </rPr>
      <t xml:space="preserve">. </t>
    </r>
    <r>
      <rPr>
        <sz val="9"/>
        <rFont val="Noto Sans CJK SC"/>
        <family val="2"/>
      </rPr>
      <t xml:space="preserve">주요 행정처분 및 제재 사례로는 </t>
    </r>
    <r>
      <rPr>
        <sz val="9"/>
        <rFont val="맑은 고딕"/>
        <family val="3"/>
        <charset val="129"/>
      </rPr>
      <t>2023</t>
    </r>
    <r>
      <rPr>
        <sz val="9"/>
        <rFont val="Noto Sans CJK SC"/>
        <family val="2"/>
      </rPr>
      <t xml:space="preserve">년 우루샷 광고 업무 행정처분과 페노스탑 제조업무정지 </t>
    </r>
    <r>
      <rPr>
        <sz val="9"/>
        <rFont val="맑은 고딕"/>
        <family val="3"/>
        <charset val="129"/>
      </rPr>
      <t>3</t>
    </r>
    <r>
      <rPr>
        <sz val="9"/>
        <rFont val="Noto Sans CJK SC"/>
        <family val="2"/>
      </rPr>
      <t>개월 조치가 있었으며</t>
    </r>
    <r>
      <rPr>
        <sz val="9"/>
        <rFont val="맑은 고딕"/>
        <family val="3"/>
        <charset val="129"/>
      </rPr>
      <t>, 2024</t>
    </r>
    <r>
      <rPr>
        <sz val="9"/>
        <rFont val="Noto Sans CJK SC"/>
        <family val="2"/>
      </rPr>
      <t>년에는 제품 회수조치가 시행되었습니다</t>
    </r>
    <r>
      <rPr>
        <sz val="9"/>
        <rFont val="맑은 고딕"/>
        <family val="3"/>
        <charset val="129"/>
      </rPr>
      <t xml:space="preserve">. </t>
    </r>
    <r>
      <rPr>
        <sz val="9"/>
        <rFont val="Noto Sans CJK SC"/>
        <family val="2"/>
      </rPr>
      <t>회사는 이러한 외부 행정처분 및 벌금 사례를 바탕으로 내부 통제 체계를 강화하고</t>
    </r>
    <r>
      <rPr>
        <sz val="9"/>
        <rFont val="맑은 고딕"/>
        <family val="3"/>
        <charset val="129"/>
      </rPr>
      <t xml:space="preserve">, </t>
    </r>
    <r>
      <rPr>
        <sz val="9"/>
        <rFont val="Noto Sans CJK SC"/>
        <family val="2"/>
      </rPr>
      <t>법규 및 규제 위반을 예방하기 위한 준법 경영 활동을 지속적으로 전개하고 있습니다</t>
    </r>
    <r>
      <rPr>
        <sz val="9"/>
        <rFont val="맑은 고딕"/>
        <family val="3"/>
        <charset val="129"/>
      </rPr>
      <t>.</t>
    </r>
  </si>
  <si>
    <t>대웅제약은 임직원의 정보보호 인식 제고를 위해 매 분기 신규 경력 입사자 대상 온보딩 교육과 반기별 신입사원 및 인턴 대상 교육을 실시하고 있으며, 이를 통해 정보보호 정책, 개인정보 컴플라이언스, 보안 솔루션 활용법 및 위반 시 제재 절차를 안내하고 있습니다.</t>
  </si>
  <si>
    <t>EBX-Q-088</t>
  </si>
  <si>
    <t>거버넌스 / 전략 (Strategy) / 소유구조 및 주주권리 정책</t>
  </si>
  <si>
    <t>기업 소유권/운영 / 소유구조 및 주주권리 정책</t>
  </si>
  <si>
    <r>
      <rPr>
        <sz val="9"/>
        <rFont val="맑은 고딕"/>
        <family val="3"/>
        <charset val="129"/>
      </rPr>
      <t>IR</t>
    </r>
    <r>
      <rPr>
        <sz val="9"/>
        <rFont val="Noto Sans CJK SC"/>
        <family val="2"/>
      </rPr>
      <t>팀을 중심으로 주주 의견을 상시 수렴하며</t>
    </r>
    <r>
      <rPr>
        <sz val="9"/>
        <rFont val="맑은 고딕"/>
        <family val="3"/>
        <charset val="129"/>
      </rPr>
      <t xml:space="preserve">, </t>
    </r>
    <r>
      <rPr>
        <sz val="9"/>
        <rFont val="Noto Sans CJK SC"/>
        <family val="2"/>
      </rPr>
      <t>기업의 소유 구조나 주요 사업 변동 및 자본 조달 정책 수립 시 주주에게 충분한 설명을 제공하고 소액 주주의 의견 수렴과 반대 주주의 권리 보호 방안을 강구하고 있습니다</t>
    </r>
    <r>
      <rPr>
        <sz val="9"/>
        <rFont val="맑은 고딕"/>
        <family val="3"/>
        <charset val="129"/>
      </rPr>
      <t xml:space="preserve">. </t>
    </r>
    <r>
      <rPr>
        <sz val="9"/>
        <rFont val="Noto Sans CJK SC"/>
        <family val="2"/>
      </rPr>
      <t>공시 대상 연도 내에 합병</t>
    </r>
    <r>
      <rPr>
        <sz val="9"/>
        <rFont val="맑은 고딕"/>
        <family val="3"/>
        <charset val="129"/>
      </rPr>
      <t xml:space="preserve">, </t>
    </r>
    <r>
      <rPr>
        <sz val="9"/>
        <rFont val="Noto Sans CJK SC"/>
        <family val="2"/>
      </rPr>
      <t>영업 양수도</t>
    </r>
    <r>
      <rPr>
        <sz val="9"/>
        <rFont val="맑은 고딕"/>
        <family val="3"/>
        <charset val="129"/>
      </rPr>
      <t xml:space="preserve">, </t>
    </r>
    <r>
      <rPr>
        <sz val="9"/>
        <rFont val="Noto Sans CJK SC"/>
        <family val="2"/>
      </rPr>
      <t>분할</t>
    </r>
    <r>
      <rPr>
        <sz val="9"/>
        <rFont val="맑은 고딕"/>
        <family val="3"/>
        <charset val="129"/>
      </rPr>
      <t>(</t>
    </r>
    <r>
      <rPr>
        <sz val="9"/>
        <rFont val="Noto Sans CJK SC"/>
        <family val="2"/>
      </rPr>
      <t>물적 분할 포함</t>
    </r>
    <r>
      <rPr>
        <sz val="9"/>
        <rFont val="맑은 고딕"/>
        <family val="3"/>
        <charset val="129"/>
      </rPr>
      <t xml:space="preserve">), </t>
    </r>
    <r>
      <rPr>
        <sz val="9"/>
        <rFont val="Noto Sans CJK SC"/>
        <family val="2"/>
      </rPr>
      <t>주식의 포괄적 교환이나 이전 등 소유 구조 또는 주요 사업에 중대한 변화를 초래하는 사항은 발생하지 않았습니다</t>
    </r>
    <r>
      <rPr>
        <sz val="9"/>
        <rFont val="맑은 고딕"/>
        <family val="3"/>
        <charset val="129"/>
      </rPr>
      <t xml:space="preserve">. </t>
    </r>
    <r>
      <rPr>
        <sz val="9"/>
        <rFont val="Noto Sans CJK SC"/>
        <family val="2"/>
      </rPr>
      <t>대웅제약은 주주 권리 보호를 위한 보완 정책의 일환으로 주주총회 시 전자투표 제도를 도입하여 의결권 행사의 편의성을 높이고 있습니다</t>
    </r>
    <r>
      <rPr>
        <sz val="9"/>
        <rFont val="맑은 고딕"/>
        <family val="3"/>
        <charset val="129"/>
      </rPr>
      <t xml:space="preserve">. </t>
    </r>
    <r>
      <rPr>
        <sz val="9"/>
        <rFont val="Noto Sans CJK SC"/>
        <family val="2"/>
      </rPr>
      <t>아울러 주주총회 과정에서 소액 주주가 의견을 충분히 개진할 수 있도록 질의 및 답변 시간을 보장함으로써 주주와의 소통을 강화하고 투명한 기업 운영을 도모하고 있습니다</t>
    </r>
    <r>
      <rPr>
        <sz val="9"/>
        <rFont val="맑은 고딕"/>
        <family val="3"/>
        <charset val="129"/>
      </rPr>
      <t>.</t>
    </r>
  </si>
  <si>
    <t>대웅제약은 소액 주주의 의견을 수렴하고 반대 주주의 권리를 보호하기 위해 전자투표 도입, 주주총회 질의 및 답변 시간 부여, IR팀을 통한 의견 수렴 등의 보완 정책을 운영하고 있습니다.</t>
  </si>
  <si>
    <t>EBX-Q-089</t>
  </si>
  <si>
    <t>거버넌스 / 거버넌스 (Governance) / 소유구조 및 운영 관리 체계</t>
  </si>
  <si>
    <t>기업 소유권/운영 / 소유구조 및 운영 관리 체계</t>
  </si>
  <si>
    <r>
      <rPr>
        <sz val="9"/>
        <rFont val="맑은 고딕"/>
        <family val="3"/>
        <charset val="129"/>
      </rPr>
      <t>IR</t>
    </r>
    <r>
      <rPr>
        <sz val="9"/>
        <rFont val="Noto Sans CJK SC"/>
        <family val="2"/>
      </rPr>
      <t>팀은 주주 간 이해관계가 상이한 기업의 소유 구조나 주요 사업의 변동</t>
    </r>
    <r>
      <rPr>
        <sz val="9"/>
        <rFont val="맑은 고딕"/>
        <family val="3"/>
        <charset val="129"/>
      </rPr>
      <t xml:space="preserve">, </t>
    </r>
    <r>
      <rPr>
        <sz val="9"/>
        <rFont val="Noto Sans CJK SC"/>
        <family val="2"/>
      </rPr>
      <t>그리고 자본 조달 정책과 관련하여 주주에게 충분한 설명을 제공하고 소액 주주의 의견을 수렴하는 등 다각적인 주주 보호 방안을 강구하고 있습니다</t>
    </r>
    <r>
      <rPr>
        <sz val="9"/>
        <rFont val="맑은 고딕"/>
        <family val="3"/>
        <charset val="129"/>
      </rPr>
      <t xml:space="preserve">. </t>
    </r>
    <r>
      <rPr>
        <sz val="9"/>
        <rFont val="Noto Sans CJK SC"/>
        <family val="2"/>
      </rPr>
      <t>특히 소액 주주의 의견 수렴과 권리 보호를 최우선으로 하는 정책을 마련하여</t>
    </r>
    <r>
      <rPr>
        <sz val="9"/>
        <rFont val="맑은 고딕"/>
        <family val="3"/>
        <charset val="129"/>
      </rPr>
      <t xml:space="preserve">, </t>
    </r>
    <r>
      <rPr>
        <sz val="9"/>
        <rFont val="Noto Sans CJK SC"/>
        <family val="2"/>
      </rPr>
      <t>주주총회 시 전자투표 제도를 도입함으로써 주주들이 보다 편리하고 원활하게 의결권을 행사할 수 있는 환경을 조성하고 있습니다</t>
    </r>
    <r>
      <rPr>
        <sz val="9"/>
        <rFont val="맑은 고딕"/>
        <family val="3"/>
        <charset val="129"/>
      </rPr>
      <t xml:space="preserve">. </t>
    </r>
    <r>
      <rPr>
        <sz val="9"/>
        <rFont val="Noto Sans CJK SC"/>
        <family val="2"/>
      </rPr>
      <t>또한 주주총회 과정에서 충분한 질의 및 답변 시간을 부여하여 경영진과 주주 간의 소통을 강화하고 있으며</t>
    </r>
    <r>
      <rPr>
        <sz val="9"/>
        <rFont val="맑은 고딕"/>
        <family val="3"/>
        <charset val="129"/>
      </rPr>
      <t>, IR</t>
    </r>
    <r>
      <rPr>
        <sz val="9"/>
        <rFont val="Noto Sans CJK SC"/>
        <family val="2"/>
      </rPr>
      <t>팀을 통한 상시적인 의견 수렴 체계를 구축하여 주주의 권익을 보호하기 위한 보완 정책을 충실히 운영하고 있습니다</t>
    </r>
    <r>
      <rPr>
        <sz val="9"/>
        <rFont val="맑은 고딕"/>
        <family val="3"/>
        <charset val="129"/>
      </rPr>
      <t xml:space="preserve">. </t>
    </r>
    <r>
      <rPr>
        <sz val="9"/>
        <rFont val="Noto Sans CJK SC"/>
        <family val="2"/>
      </rPr>
      <t>이러한 체계적인 관리 방식을 통해 기업 운영의 투명성을 높이고 주주 가치를 제고하는 데 주력하고 있습니다</t>
    </r>
    <r>
      <rPr>
        <sz val="9"/>
        <rFont val="맑은 고딕"/>
        <family val="3"/>
        <charset val="129"/>
      </rPr>
      <t xml:space="preserve">. </t>
    </r>
    <r>
      <rPr>
        <sz val="9"/>
        <rFont val="Noto Sans CJK SC"/>
        <family val="2"/>
      </rPr>
      <t>대웅제약은 공시 대상 연도 내에 기업의 소유 구조 또는 주요 사업에 중대한 변화를 초래할 수 있는 합병</t>
    </r>
    <r>
      <rPr>
        <sz val="9"/>
        <rFont val="맑은 고딕"/>
        <family val="3"/>
        <charset val="129"/>
      </rPr>
      <t xml:space="preserve">, </t>
    </r>
    <r>
      <rPr>
        <sz val="9"/>
        <rFont val="Noto Sans CJK SC"/>
        <family val="2"/>
      </rPr>
      <t>영업 양수도</t>
    </r>
    <r>
      <rPr>
        <sz val="9"/>
        <rFont val="맑은 고딕"/>
        <family val="3"/>
        <charset val="129"/>
      </rPr>
      <t xml:space="preserve">, </t>
    </r>
    <r>
      <rPr>
        <sz val="9"/>
        <rFont val="Noto Sans CJK SC"/>
        <family val="2"/>
      </rPr>
      <t>분할 및 물적 분할</t>
    </r>
    <r>
      <rPr>
        <sz val="9"/>
        <rFont val="맑은 고딕"/>
        <family val="3"/>
        <charset val="129"/>
      </rPr>
      <t xml:space="preserve">, </t>
    </r>
    <r>
      <rPr>
        <sz val="9"/>
        <rFont val="Noto Sans CJK SC"/>
        <family val="2"/>
      </rPr>
      <t>그리고 주식의 포괄적 교환이나 이전과 같은 주요 변동 사항이 발생하지 않았음을 확인하였습니다</t>
    </r>
    <r>
      <rPr>
        <sz val="9"/>
        <rFont val="맑은 고딕"/>
        <family val="3"/>
        <charset val="129"/>
      </rPr>
      <t xml:space="preserve">. </t>
    </r>
    <r>
      <rPr>
        <sz val="9"/>
        <rFont val="Noto Sans CJK SC"/>
        <family val="2"/>
      </rPr>
      <t>회사는 앞으로도 소유 구조의 변동이나 주요 사업의 변화가 발생할 경우</t>
    </r>
    <r>
      <rPr>
        <sz val="9"/>
        <rFont val="맑은 고딕"/>
        <family val="3"/>
        <charset val="129"/>
      </rPr>
      <t xml:space="preserve">, </t>
    </r>
    <r>
      <rPr>
        <sz val="9"/>
        <rFont val="Noto Sans CJK SC"/>
        <family val="2"/>
      </rPr>
      <t>주주 보호 정책에 따라 충분한 정보 제공과 의견 수렴 과정을 거쳐 주주의 권리가 침해되지 않도록 철저히 관리할 방침입니다</t>
    </r>
    <r>
      <rPr>
        <sz val="9"/>
        <rFont val="맑은 고딕"/>
        <family val="3"/>
        <charset val="129"/>
      </rPr>
      <t>.</t>
    </r>
  </si>
  <si>
    <t>대웅제약은 공시 대상 연도 내에 기업의 소유 구조 또는 주요 사업에 중대한 변화를 초래하는 합병, 영업 양수도, 분할물적 분할 포함), 주식의 포괄적 교환이나 이전이 발생하지 않았습니다.</t>
  </si>
  <si>
    <t>EBX-Q-090</t>
  </si>
  <si>
    <t>거버넌스 / 위험 관리 (Risk Management) / 소유구조 관련 리스크 관리</t>
  </si>
  <si>
    <t>기업 소유권/운영 / 소유구조 관련 리스크 관리</t>
  </si>
  <si>
    <t>이사회는 상법 제398조에 따라 주요 주주와의 거래 및 이사 겸직으로 인한 이해충돌 우려가 있는 회사와의 거래 시 승인 절차를 거치도록 하여 내부거래 및 자기거래에 대한 통제를 엄격히 준수하고 있습니다. 대웅제약은 기업의 소유 구조나 주요 사업의 변동, 자본 조달 정책 수립 시 주주 간 이해관계의 차이를 고려하여 충분한 설명을 제공하며, 소액 주주의 의견 수렴과 반대 주주의 권리 보호를 위한 다각적인 방안을 강구합니다. 실질적인 주주 권리 보호를 위해 전자투표 제도를 도입하여 의결권 행사의 편의성을 높였으며, 주주총회 내 충분한 질의 및 답변 시간을 부여함으로써 소액 주주가 의견을 자유롭게 개진할 수 있는 환경을 조성하고 있습니다. 아울러 IR팀을 통한 상시적인 의견 수렴 체계를 보완 정책으로 운영하고 있습니다. 대웅제약은 공시 대상 연도 중 합병, 영업 양수도, 분할(물적 분할 포함), 주식의 포괄적 교환이나 이전 등 소유 구조 또는 주요 사업에 중대한 변화를 초래하는 사항이 발생하지 않았습니다.</t>
  </si>
  <si>
    <t>당사는 기업의 소유 구조 또는 주요 사업의 변동 및 자본 조달 정책과 관련하여 주주에게 충분히 설명하고, 소액 주주의 의견 수렴 및 반대 주주의 권리 보호 방안을 강구하고 있습니다. 이를 위해 전자투표 도입, 주주총회 내 충분한 질의 및 답변 시간 부여, IR팀을 통한 의견 수렴 등의 보완 정책을 운영하고 있습니다. 또한, 상법 제398조에 따라 주요 주주 등과의 거래 및 이사 겸직으로 인한 이해충돌 우려가 있는 거래에 대해 이사회 승인을 받는 등 내부거래 및 자기거래에 대한 통제를 준수하고 있습니다.</t>
  </si>
  <si>
    <t>EBX-Q-091</t>
  </si>
  <si>
    <t>거버넌스 / 지표 (Metrics) / 소유구조 및 주주 현황</t>
  </si>
  <si>
    <t>기업 소유권/운영 / 소유구조 및 주주 현황</t>
  </si>
  <si>
    <t>대웅제약은 기업의 소유 구조나 주요 사업의 변동, 그리고 자본 조달 정책을 수립함에 있어 주주들에게 충분한 설명을 제공하고 소액 주주의 의견 수렴과 반대 주주의 권리 보호를 위한 방안을 강구하며 주주 보호를 실천하고 있습니다. 특히 공시 대상 연도 내에 합병, 영업 양수도, 분할 및 물적 분할, 주식의 포괄적 교환이나 이전 등 기업 소유 구조나 주요 사업에 중대한 변화를 초래하는 사건은 발생하지 않았습니다. 자본 구성 및 소유 구조 현황을 살펴보면, 2025년 기준 보통주자본금은 28.9664375십억 원이며 비지배지분은 128.562439756십억 원으로 집계되었습니다. 또한 자기자본 대비 계열회사에 대한 출자총액 규모는 2022년 31.0%에서 2023년 44.030668127053666%, 2024년 42.07119741100323%를 거쳐 2025년에는 41.93832599118943%를 기록하며 일정 수준의 출자 규모를 유지하고 있는 것으로 확인됩니다. 대웅제약은 이러한 지표 관리를 통해 투명한 소유 구조를 유지하고 주주 간 이해 관계를 고려한 안정적인 경영 환경을 조성하는 데 주력하고 있습니다.</t>
  </si>
  <si>
    <t>대웅제약은 기업의 소유 구조, 주요 사업의 변동 및 자본 조달 정책과 관련하여 주주에게 충분히 설명하고 소액 주주의 의견 수렴과 반대 주주의 권리 보호 방안을 강구하고 있습니다. 또한, 소액 주주의 권리 보호를 위해 전자투표 도입, 주주총회 내 충분한 질의 및 답변 시간 부여, IR팀을 통한 의견 수렴 등의 보완 정책을 운영하고 있습니다.</t>
  </si>
  <si>
    <t>EBX-Q-092</t>
  </si>
  <si>
    <t>거버넌스 / 전략 (Strategy) / 이해관계자 소통 정책 및 방향</t>
  </si>
  <si>
    <t>이해관계자 소통 / 이해관계자 소통 정책 및 방향</t>
  </si>
  <si>
    <t>대웅제약은 임직원, 주주 및 투자자, 고객, 협력사, 지역사회, 정부 및 지방자치단체, NGO를 주요 이해관계자로 정의하고, 각 그룹의 특성과 요구사항에 최적화된 특화 커뮤니케이션 채널을 구축하여 활발한 소통 체계를 운영하고 있습니다. 이러한 소통의 핵심 방향은 다양한 이해관계자의 의견을 체계적으로 수렴하여 이를 경영 전략에 실질적으로 반영함으로써, 기업의 사회적 책임을 성실히 이행하고 각 그룹의 기대에 부응하는 지속가능한 가치를 창출하는 데 있습니다. 투명하고 책임 있는 소통 정책을 실현하기 위해 대웅제약은 지속가능경영보고서 발간과 공식 홈페이지 운영을 통해 주요 ESG 활동과 성과를 대외적으로 투명하게 공개하고 있습니다. 특히 외부 이해관계자와의 상생 협력을 강화하고자, 기업 활동에 필요한 제품과 서비스를 공급하는 협력사를 대상으로 고객만족 관점의 소통을 전개하고 있으며, 사업장이 포함된 지역주민 및 사업으로 인해 영향을 받는 지역사회 이해관계자와는 동반성장을 위한 긴밀한 협력 관계를 유지하고 있습니다. 내부 구성원과의 소통에 있어서는 노동조합과 한마음협의회, 그리고 임직원 고충처리 채널 등 다각적인 의견 수렴 창구를 활성화하여 구성원들의 목소리를 적극적으로 경청하고 있습니다. 이를 통해 접수된 의견과 요청 사항은 회사의 규정과 방침에 따라 적절한 조치가 이루어지도록 관리함으로써, 내부 구성원의 만족도를 높이고 건강한 조직 문화를 조성하는 데 주력하고 있습니다.</t>
  </si>
  <si>
    <t>EBX-Q-093</t>
  </si>
  <si>
    <t>거버넌스 / 거버넌스 (Governance) / 이해관계자 소통 관리 체계</t>
  </si>
  <si>
    <t>이해관계자 소통 / 이해관계자 소통 관리 체계</t>
  </si>
  <si>
    <t>이사회는 인권 침해 리스크를 사전에 진단하고 관리하기 위해 관련 정책과 규정을 지속적으로 보완하며 감독 책임을 수행하고 있습니다. 대웅제약은 임직원과 이해관계자의 인권을 존중하는 인권경영 정책을 수립하여 운영 중이며, 본사 사업장을 대상으로 인권영향평가를 실시함으로써 인권 리스크를 체계적으로 진단하고 관리하는 체계를 구축하였습니다. 또한, 노동조합과 한마음협의회 및 임직원 고충처리 채널 등 다양한 소통 창구를 통해 구성원의 의견을 적극적으로 수렴하고 있습니다. 이를 통해 접수된 의견과 요청 사항은 회사의 내부 규정과 방침에 따라 적절한 조치가 이루어지도록 운영하고 있습니다.</t>
  </si>
  <si>
    <t>대웅제약은 임직원과 이해관계자의 인권 존중을 위해 인권경영 정책을 수립하여 운영하고 있으며, 이사회 차원에서 관련 정책과 규정을 지속적으로 보완하고 있습니다. 또한 본사 사업장에서 인권영향평가를 실시하여 인권 리스크를 진단하고 관리할 수 있는 체계를 마련하여 운영 중입니다.</t>
  </si>
  <si>
    <t>EBX-Q-094</t>
  </si>
  <si>
    <t>거버넌스 / 위험 관리 (Risk Management) / 이해관계자 관련 리스크 관리</t>
  </si>
  <si>
    <t>이해관계자 소통 / 이해관계자 관련 리스크 관리</t>
  </si>
  <si>
    <t>대웅제약은 이중 중대성 평가 방법론을 기반으로 이해관계자와의 관계 및 소통 과정에서 발생할 수 있는 잠재적 리스크를 체계적으로 식별하고 관리하고 있습니다. 우선 산업 트렌드와 국내외 규제, 주요 경쟁사 분석과 더불어 이해관계자의 의견 수렴 과정을 거쳐 ESG 이슈 후보군을 도출하며, 2024년에는 10개의 중대 이슈를 시작으로 후보군 식별 작업을 수행하였습니다. 이 과정에서 ISSB의 지속가능성 관련 리스크 및 기회 개념 중 영향 측면을 충분히 고려하고, 제약 산업의 특성과 규제 준수 여부를 종합적으로 검토하여 리스크 관리의 실효성을 높이고 있습니다. 특히 이해관계자별 특성에 맞춘 FGI를 운영하여 리스크를 세분화하여 관리하는 체계를 갖추고 있습니다. 외부 이해관계자 FGI를 통해 이해관계자가 중요하게 인식하는 ESG 이슈와 구체적인 공시 요구사항을 파악하고 이를 평가 과정에 직접 반영함으로써 소통 부재로 인한 리스크를 완화합니다.</t>
  </si>
  <si>
    <t>EBX-Q-095</t>
  </si>
  <si>
    <t>거버넌스 / 지표 (Metrics) / 이해관계자 소통 활동 현황</t>
  </si>
  <si>
    <t>이해관계자 소통 / 이해관계자 소통 활동 현황</t>
  </si>
  <si>
    <t>대웅제약은 내·외부 이해관계자와의 다각적인 소통 채널을 운영하여 수렴된 의견을 경영 활동에 반영하고 있습니다. 외부 이해관계자 FGI를 통해서는 중요하게 인식하는 ESG 이슈와 공시 요구사항을 파악하여 평가에 반영하며, 이를 통해 2024년 10개 중대 이슈를 시작으로 산업 트렌드, 국내외 규제, 경쟁사 분석 및 이해관계자 의견 수렴을 거쳐 ESG 이슈 후보군을 식별하고 있습니다. 인권경영 분야에서는 임직원 대상 설문조사와 GPTW의 외부 평가를 통해 내부 이해관계자의 의견을 수렴하고 있으며, 지속가능경영보고서, 공식 보도자료, 홈페이지, 뉴스룸 등 다양한 채널을 통해 인권경영 성과와 활동을 정기적으로 공개하고 있습니다. 특히 2025년 기준 내부 이해관계자로부터 접수된 인권 관련 고충처리 63건에 대해 모두 처리를 완료하며 실질적인 소통과 대응을 수행하고 있습니다.</t>
  </si>
  <si>
    <t>외부 평가 자료상 대웅제약은 지속가능경영보고서 발간, 공식 보도자료, 홈페이지, 뉴스룸 등을 통해 인권경영 성과와 활동을 정기적으로 공개하고 있습니다. 또한, 내부 임직원을 대상으로 한 설문조사와 GPTW 외부 평가를 통해 인권경영 성과에 대한 의견을 수렴하고 있으며, 이중 중대성 평가 과정에서 내부 및 외부 이해관계자 FGI(포커스 그룹 인터뷰)를 실시하여 ESG 이슈가 재무에 미치는 영향과 공시 요구사항 등을 파악하고 있습니다.</t>
  </si>
  <si>
    <t>Answer: passed / Consumer Decision: answered_partial / QA Grade: cautious / Publication: review_required / Publication Reason: assessment_only / Coverage: assessment_only / RAG Coverage: complete / Answerable: True / Evidence: medium_confidence</t>
  </si>
  <si>
    <t>대표 사례 — 점수의 근거가 되는 실제 문장</t>
  </si>
  <si>
    <t>사례 유형</t>
  </si>
  <si>
    <t>지표ID / 항목</t>
  </si>
  <si>
    <t>읽는 법</t>
  </si>
  <si>
    <r>
      <rPr>
        <sz val="9"/>
        <rFont val="맑은 고딕"/>
        <family val="3"/>
        <charset val="129"/>
      </rPr>
      <t xml:space="preserve">V3 </t>
    </r>
    <r>
      <rPr>
        <sz val="9"/>
        <rFont val="Noto Sans CJK SC"/>
        <family val="2"/>
      </rPr>
      <t xml:space="preserve">우세 — 근거 충실 </t>
    </r>
    <r>
      <rPr>
        <sz val="9"/>
        <rFont val="맑은 고딕"/>
        <family val="3"/>
        <charset val="129"/>
      </rPr>
      <t xml:space="preserve">+ </t>
    </r>
    <r>
      <rPr>
        <sz val="9"/>
        <rFont val="Noto Sans CJK SC"/>
        <family val="2"/>
      </rPr>
      <t>간결</t>
    </r>
  </si>
  <si>
    <r>
      <rPr>
        <sz val="9"/>
        <rFont val="맑은 고딕"/>
        <family val="3"/>
        <charset val="129"/>
      </rPr>
      <t xml:space="preserve">EBX-Q-020
</t>
    </r>
    <r>
      <rPr>
        <sz val="9"/>
        <rFont val="Noto Sans CJK SC"/>
        <family val="2"/>
      </rPr>
      <t>환경경영 정책 및 목표</t>
    </r>
  </si>
  <si>
    <r>
      <rPr>
        <sz val="9"/>
        <rFont val="맑은 고딕"/>
        <family val="3"/>
        <charset val="129"/>
      </rPr>
      <t>V2</t>
    </r>
    <r>
      <rPr>
        <sz val="9"/>
        <rFont val="Noto Sans CJK SC"/>
        <family val="2"/>
      </rPr>
      <t xml:space="preserve">는 </t>
    </r>
    <r>
      <rPr>
        <sz val="9"/>
        <rFont val="맑은 고딕"/>
        <family val="3"/>
        <charset val="129"/>
      </rPr>
      <t>6</t>
    </r>
    <r>
      <rPr>
        <sz val="9"/>
        <rFont val="Noto Sans CJK SC"/>
        <family val="2"/>
      </rPr>
      <t xml:space="preserve">문장으로 늘어나며 </t>
    </r>
    <r>
      <rPr>
        <sz val="9"/>
        <rFont val="맑은 고딕"/>
        <family val="3"/>
        <charset val="129"/>
      </rPr>
      <t>"</t>
    </r>
    <r>
      <rPr>
        <sz val="9"/>
        <rFont val="Noto Sans CJK SC"/>
        <family val="2"/>
      </rPr>
      <t>능동적인 환경 관리 문화를 정착시키고 있습니다</t>
    </r>
    <r>
      <rPr>
        <sz val="9"/>
        <rFont val="맑은 고딕"/>
        <family val="3"/>
        <charset val="129"/>
      </rPr>
      <t xml:space="preserve">" </t>
    </r>
    <r>
      <rPr>
        <sz val="9"/>
        <rFont val="Noto Sans CJK SC"/>
        <family val="2"/>
      </rPr>
      <t>같은 무근거 마무리를 덧붙임</t>
    </r>
    <r>
      <rPr>
        <sz val="9"/>
        <rFont val="맑은 고딕"/>
        <family val="3"/>
        <charset val="129"/>
      </rPr>
      <t>. V3</t>
    </r>
    <r>
      <rPr>
        <sz val="9"/>
        <rFont val="Noto Sans CJK SC"/>
        <family val="2"/>
      </rPr>
      <t xml:space="preserve">는 </t>
    </r>
    <r>
      <rPr>
        <sz val="9"/>
        <rFont val="맑은 고딕"/>
        <family val="3"/>
        <charset val="129"/>
      </rPr>
      <t xml:space="preserve">ISO14001 </t>
    </r>
    <r>
      <rPr>
        <sz val="9"/>
        <rFont val="Noto Sans CJK SC"/>
        <family val="2"/>
      </rPr>
      <t>중심으로 근거 내에서 끝냄</t>
    </r>
    <r>
      <rPr>
        <sz val="9"/>
        <rFont val="맑은 고딕"/>
        <family val="3"/>
        <charset val="129"/>
      </rPr>
      <t xml:space="preserve">. </t>
    </r>
    <r>
      <rPr>
        <sz val="9"/>
        <rFont val="Noto Sans CJK SC"/>
        <family val="2"/>
      </rPr>
      <t xml:space="preserve">다만 </t>
    </r>
    <r>
      <rPr>
        <sz val="9"/>
        <rFont val="맑은 고딕"/>
        <family val="3"/>
        <charset val="129"/>
      </rPr>
      <t>V3</t>
    </r>
    <r>
      <rPr>
        <sz val="9"/>
        <rFont val="Noto Sans CJK SC"/>
        <family val="2"/>
      </rPr>
      <t xml:space="preserve">의 </t>
    </r>
    <r>
      <rPr>
        <sz val="9"/>
        <rFont val="맑은 고딕"/>
        <family val="3"/>
        <charset val="129"/>
      </rPr>
      <t>"</t>
    </r>
    <r>
      <rPr>
        <sz val="9"/>
        <rFont val="Noto Sans CJK SC"/>
        <family val="2"/>
      </rPr>
      <t>외부 평가 자료상 또한</t>
    </r>
    <r>
      <rPr>
        <sz val="9"/>
        <rFont val="맑은 고딕"/>
        <family val="3"/>
        <charset val="129"/>
      </rPr>
      <t xml:space="preserve">," </t>
    </r>
    <r>
      <rPr>
        <sz val="9"/>
        <rFont val="Noto Sans CJK SC"/>
        <family val="2"/>
      </rPr>
      <t>는 비문</t>
    </r>
    <r>
      <rPr>
        <sz val="9"/>
        <rFont val="맑은 고딕"/>
        <family val="3"/>
        <charset val="129"/>
      </rPr>
      <t>.</t>
    </r>
  </si>
  <si>
    <r>
      <rPr>
        <sz val="9"/>
        <rFont val="맑은 고딕"/>
        <family val="3"/>
        <charset val="129"/>
      </rPr>
      <t xml:space="preserve">V3 </t>
    </r>
    <r>
      <rPr>
        <sz val="9"/>
        <rFont val="Noto Sans CJK SC"/>
        <family val="2"/>
      </rPr>
      <t>우세 — 상투어 절제</t>
    </r>
  </si>
  <si>
    <r>
      <rPr>
        <sz val="9"/>
        <rFont val="맑은 고딕"/>
        <family val="3"/>
        <charset val="129"/>
      </rPr>
      <t xml:space="preserve">EBX-Q-001
ESG </t>
    </r>
    <r>
      <rPr>
        <sz val="9"/>
        <rFont val="Noto Sans CJK SC"/>
        <family val="2"/>
      </rPr>
      <t>비전 및 중장기 전략</t>
    </r>
  </si>
  <si>
    <r>
      <rPr>
        <sz val="9"/>
        <rFont val="맑은 고딕"/>
        <family val="3"/>
        <charset val="129"/>
      </rPr>
      <t>V3</t>
    </r>
    <r>
      <rPr>
        <sz val="9"/>
        <rFont val="Noto Sans CJK SC"/>
        <family val="2"/>
      </rPr>
      <t xml:space="preserve">만 </t>
    </r>
    <r>
      <rPr>
        <sz val="9"/>
        <rFont val="맑은 고딕"/>
        <family val="3"/>
        <charset val="129"/>
      </rPr>
      <t xml:space="preserve">CARE </t>
    </r>
    <r>
      <rPr>
        <sz val="9"/>
        <rFont val="Noto Sans CJK SC"/>
        <family val="2"/>
      </rPr>
      <t xml:space="preserve">전략의 </t>
    </r>
    <r>
      <rPr>
        <sz val="9"/>
        <rFont val="맑은 고딕"/>
        <family val="3"/>
        <charset val="129"/>
      </rPr>
      <t>4</t>
    </r>
    <r>
      <rPr>
        <sz val="9"/>
        <rFont val="Noto Sans CJK SC"/>
        <family val="2"/>
      </rPr>
      <t>대 방향성</t>
    </r>
    <r>
      <rPr>
        <sz val="9"/>
        <rFont val="맑은 고딕"/>
        <family val="3"/>
        <charset val="129"/>
      </rPr>
      <t>(Cure/Advance/Respect/Earth)</t>
    </r>
    <r>
      <rPr>
        <sz val="9"/>
        <rFont val="Noto Sans CJK SC"/>
        <family val="2"/>
      </rPr>
      <t>이라는 실제 고유정보를 담음</t>
    </r>
    <r>
      <rPr>
        <sz val="9"/>
        <rFont val="맑은 고딕"/>
        <family val="3"/>
        <charset val="129"/>
      </rPr>
      <t>. V2</t>
    </r>
    <r>
      <rPr>
        <sz val="9"/>
        <rFont val="Noto Sans CJK SC"/>
        <family val="2"/>
      </rPr>
      <t xml:space="preserve">는 같은 자리에서 </t>
    </r>
    <r>
      <rPr>
        <sz val="9"/>
        <rFont val="맑은 고딕"/>
        <family val="3"/>
        <charset val="129"/>
      </rPr>
      <t>"</t>
    </r>
    <r>
      <rPr>
        <sz val="9"/>
        <rFont val="Noto Sans CJK SC"/>
        <family val="2"/>
      </rPr>
      <t>지속적으로 강화하고 있습니다</t>
    </r>
    <r>
      <rPr>
        <sz val="9"/>
        <rFont val="맑은 고딕"/>
        <family val="3"/>
        <charset val="129"/>
      </rPr>
      <t>"</t>
    </r>
    <r>
      <rPr>
        <sz val="9"/>
        <rFont val="Noto Sans CJK SC"/>
        <family val="2"/>
      </rPr>
      <t>로 흘림</t>
    </r>
    <r>
      <rPr>
        <sz val="9"/>
        <rFont val="맑은 고딕"/>
        <family val="3"/>
        <charset val="129"/>
      </rPr>
      <t xml:space="preserve">. </t>
    </r>
    <r>
      <rPr>
        <sz val="9"/>
        <rFont val="Noto Sans CJK SC"/>
        <family val="2"/>
      </rPr>
      <t xml:space="preserve">반면 </t>
    </r>
    <r>
      <rPr>
        <sz val="9"/>
        <rFont val="맑은 고딕"/>
        <family val="3"/>
        <charset val="129"/>
      </rPr>
      <t>V3</t>
    </r>
    <r>
      <rPr>
        <sz val="9"/>
        <rFont val="Noto Sans CJK SC"/>
        <family val="2"/>
      </rPr>
      <t xml:space="preserve">는 </t>
    </r>
    <r>
      <rPr>
        <sz val="9"/>
        <rFont val="맑은 고딕"/>
        <family val="3"/>
        <charset val="129"/>
      </rPr>
      <t>"</t>
    </r>
    <r>
      <rPr>
        <sz val="9"/>
        <rFont val="Noto Sans CJK SC"/>
        <family val="2"/>
      </rPr>
      <t>검토 중인 제안 자료상</t>
    </r>
    <r>
      <rPr>
        <sz val="9"/>
        <rFont val="맑은 고딕"/>
        <family val="3"/>
        <charset val="129"/>
      </rPr>
      <t>"</t>
    </r>
    <r>
      <rPr>
        <sz val="9"/>
        <rFont val="Noto Sans CJK SC"/>
        <family val="2"/>
      </rPr>
      <t>으로 시작해 첫인상을 해침</t>
    </r>
    <r>
      <rPr>
        <sz val="9"/>
        <rFont val="맑은 고딕"/>
        <family val="3"/>
        <charset val="129"/>
      </rPr>
      <t>.</t>
    </r>
  </si>
  <si>
    <r>
      <rPr>
        <sz val="9"/>
        <rFont val="맑은 고딕"/>
        <family val="3"/>
        <charset val="129"/>
      </rPr>
      <t xml:space="preserve">V2 </t>
    </r>
    <r>
      <rPr>
        <sz val="9"/>
        <rFont val="Noto Sans CJK SC"/>
        <family val="2"/>
      </rPr>
      <t>우세 — 항목 적합성</t>
    </r>
  </si>
  <si>
    <r>
      <rPr>
        <sz val="9"/>
        <rFont val="맑은 고딕"/>
        <family val="3"/>
        <charset val="129"/>
      </rPr>
      <t xml:space="preserve">EBX-Q-063
</t>
    </r>
    <r>
      <rPr>
        <sz val="9"/>
        <rFont val="Noto Sans CJK SC"/>
        <family val="2"/>
      </rPr>
      <t>구성원 다양성 현황</t>
    </r>
  </si>
  <si>
    <t>★ 가장 극명한 사례. 항목이 요구한 것은 "다양성 현황" 즉 인원 구성. V2는 남성 1,136명·여성 정규직 617명·연령대별 인원까지 제시. V3는 이를 전부 버리고 2016년 직무급 제도만 언급 — 항목이 묻지 않은 내용.</t>
  </si>
  <si>
    <r>
      <rPr>
        <sz val="9"/>
        <rFont val="맑은 고딕"/>
        <family val="3"/>
        <charset val="129"/>
      </rPr>
      <t xml:space="preserve">V2 </t>
    </r>
    <r>
      <rPr>
        <sz val="9"/>
        <rFont val="Noto Sans CJK SC"/>
        <family val="2"/>
      </rPr>
      <t>우세 — 구체성</t>
    </r>
  </si>
  <si>
    <r>
      <rPr>
        <sz val="9"/>
        <rFont val="맑은 고딕"/>
        <family val="3"/>
        <charset val="129"/>
      </rPr>
      <t xml:space="preserve">EBX-Q-044
</t>
    </r>
    <r>
      <rPr>
        <sz val="9"/>
        <rFont val="Noto Sans CJK SC"/>
        <family val="2"/>
      </rPr>
      <t>오염물질 및 배출 관리 정책</t>
    </r>
  </si>
  <si>
    <r>
      <rPr>
        <sz val="9"/>
        <rFont val="맑은 고딕"/>
        <family val="3"/>
        <charset val="129"/>
      </rPr>
      <t>V2</t>
    </r>
    <r>
      <rPr>
        <sz val="9"/>
        <rFont val="Noto Sans CJK SC"/>
        <family val="2"/>
      </rPr>
      <t xml:space="preserve">는 </t>
    </r>
    <r>
      <rPr>
        <sz val="9"/>
        <rFont val="맑은 고딕"/>
        <family val="3"/>
        <charset val="129"/>
      </rPr>
      <t xml:space="preserve">ENCORE </t>
    </r>
    <r>
      <rPr>
        <sz val="9"/>
        <rFont val="Noto Sans CJK SC"/>
        <family val="2"/>
      </rPr>
      <t>분석</t>
    </r>
    <r>
      <rPr>
        <sz val="9"/>
        <rFont val="맑은 고딕"/>
        <family val="3"/>
        <charset val="129"/>
      </rPr>
      <t xml:space="preserve">, </t>
    </r>
    <r>
      <rPr>
        <sz val="9"/>
        <rFont val="Noto Sans CJK SC"/>
        <family val="2"/>
      </rPr>
      <t>질소산화물 개선계획 수립 연도</t>
    </r>
    <r>
      <rPr>
        <sz val="9"/>
        <rFont val="맑은 고딕"/>
        <family val="3"/>
        <charset val="129"/>
      </rPr>
      <t xml:space="preserve">, </t>
    </r>
    <r>
      <rPr>
        <sz val="9"/>
        <rFont val="Noto Sans CJK SC"/>
        <family val="2"/>
      </rPr>
      <t>수질 배출 추세까지 전개</t>
    </r>
    <r>
      <rPr>
        <sz val="9"/>
        <rFont val="맑은 고딕"/>
        <family val="3"/>
        <charset val="129"/>
      </rPr>
      <t>. V3</t>
    </r>
    <r>
      <rPr>
        <sz val="9"/>
        <rFont val="Noto Sans CJK SC"/>
        <family val="2"/>
      </rPr>
      <t xml:space="preserve">는 핵심만 남겼으나 </t>
    </r>
    <r>
      <rPr>
        <sz val="9"/>
        <rFont val="맑은 고딕"/>
        <family val="3"/>
        <charset val="129"/>
      </rPr>
      <t xml:space="preserve">ENCORE </t>
    </r>
    <r>
      <rPr>
        <sz val="9"/>
        <rFont val="Noto Sans CJK SC"/>
        <family val="2"/>
      </rPr>
      <t>등 고유명사가 탈락</t>
    </r>
    <r>
      <rPr>
        <sz val="9"/>
        <rFont val="맑은 고딕"/>
        <family val="3"/>
        <charset val="129"/>
      </rPr>
      <t xml:space="preserve">. </t>
    </r>
    <r>
      <rPr>
        <sz val="9"/>
        <rFont val="Noto Sans CJK SC"/>
        <family val="2"/>
      </rPr>
      <t xml:space="preserve">다만 </t>
    </r>
    <r>
      <rPr>
        <sz val="9"/>
        <rFont val="맑은 고딕"/>
        <family val="3"/>
        <charset val="129"/>
      </rPr>
      <t>V2</t>
    </r>
    <r>
      <rPr>
        <sz val="9"/>
        <rFont val="Noto Sans CJK SC"/>
        <family val="2"/>
      </rPr>
      <t xml:space="preserve">의 후반부는 </t>
    </r>
    <r>
      <rPr>
        <sz val="9"/>
        <rFont val="맑은 고딕"/>
        <family val="3"/>
        <charset val="129"/>
      </rPr>
      <t xml:space="preserve">Evidence </t>
    </r>
    <r>
      <rPr>
        <sz val="9"/>
        <rFont val="Noto Sans CJK SC"/>
        <family val="2"/>
      </rPr>
      <t>밖 서술 비중이 높음</t>
    </r>
    <r>
      <rPr>
        <sz val="9"/>
        <rFont val="맑은 고딕"/>
        <family val="3"/>
        <charset val="129"/>
      </rPr>
      <t>.</t>
    </r>
  </si>
  <si>
    <r>
      <rPr>
        <sz val="9"/>
        <rFont val="맑은 고딕"/>
        <family val="3"/>
        <charset val="129"/>
      </rPr>
      <t xml:space="preserve">V2 </t>
    </r>
    <r>
      <rPr>
        <sz val="9"/>
        <rFont val="Noto Sans CJK SC"/>
        <family val="2"/>
      </rPr>
      <t>단독 작성</t>
    </r>
  </si>
  <si>
    <r>
      <rPr>
        <sz val="9"/>
        <rFont val="맑은 고딕"/>
        <family val="3"/>
        <charset val="129"/>
      </rPr>
      <t xml:space="preserve">EBX-Q-011
</t>
    </r>
    <r>
      <rPr>
        <sz val="9"/>
        <rFont val="Noto Sans CJK SC"/>
        <family val="2"/>
      </rPr>
      <t>인권 관련 고충 및 처리 현황</t>
    </r>
  </si>
  <si>
    <r>
      <rPr>
        <sz val="9"/>
        <rFont val="맑은 고딕"/>
        <family val="3"/>
        <charset val="129"/>
      </rPr>
      <t>(</t>
    </r>
    <r>
      <rPr>
        <sz val="9"/>
        <rFont val="Noto Sans CJK SC"/>
        <family val="2"/>
      </rPr>
      <t>공란</t>
    </r>
    <r>
      <rPr>
        <sz val="9"/>
        <rFont val="맑은 고딕"/>
        <family val="3"/>
        <charset val="129"/>
      </rPr>
      <t>)</t>
    </r>
  </si>
  <si>
    <r>
      <rPr>
        <sz val="9"/>
        <rFont val="맑은 고딕"/>
        <family val="3"/>
        <charset val="129"/>
      </rPr>
      <t>V2</t>
    </r>
    <r>
      <rPr>
        <sz val="9"/>
        <rFont val="Noto Sans CJK SC"/>
        <family val="2"/>
      </rPr>
      <t xml:space="preserve">는 </t>
    </r>
    <r>
      <rPr>
        <sz val="9"/>
        <rFont val="맑은 고딕"/>
        <family val="3"/>
        <charset val="129"/>
      </rPr>
      <t>"2025</t>
    </r>
    <r>
      <rPr>
        <sz val="9"/>
        <rFont val="Noto Sans CJK SC"/>
        <family val="2"/>
      </rPr>
      <t xml:space="preserve">년 인권 고충 </t>
    </r>
    <r>
      <rPr>
        <sz val="9"/>
        <rFont val="맑은 고딕"/>
        <family val="3"/>
        <charset val="129"/>
      </rPr>
      <t>63</t>
    </r>
    <r>
      <rPr>
        <sz val="9"/>
        <rFont val="Noto Sans CJK SC"/>
        <family val="2"/>
      </rPr>
      <t>건 접수</t>
    </r>
    <r>
      <rPr>
        <sz val="9"/>
        <rFont val="맑은 고딕"/>
        <family val="3"/>
        <charset val="129"/>
      </rPr>
      <t>·</t>
    </r>
    <r>
      <rPr>
        <sz val="9"/>
        <rFont val="Noto Sans CJK SC"/>
        <family val="2"/>
      </rPr>
      <t>전건 처리 완료</t>
    </r>
    <r>
      <rPr>
        <sz val="9"/>
        <rFont val="맑은 고딕"/>
        <family val="3"/>
        <charset val="129"/>
      </rPr>
      <t>"</t>
    </r>
    <r>
      <rPr>
        <sz val="9"/>
        <rFont val="Noto Sans CJK SC"/>
        <family val="2"/>
      </rPr>
      <t>라는 검증 가능한 수치를 작성</t>
    </r>
    <r>
      <rPr>
        <sz val="9"/>
        <rFont val="맑은 고딕"/>
        <family val="3"/>
        <charset val="129"/>
      </rPr>
      <t>. V3</t>
    </r>
    <r>
      <rPr>
        <sz val="9"/>
        <rFont val="Noto Sans CJK SC"/>
        <family val="2"/>
      </rPr>
      <t xml:space="preserve">는 </t>
    </r>
    <r>
      <rPr>
        <sz val="9"/>
        <rFont val="맑은 고딕"/>
        <family val="3"/>
        <charset val="129"/>
      </rPr>
      <t>QA Grade failed</t>
    </r>
    <r>
      <rPr>
        <sz val="9"/>
        <rFont val="Noto Sans CJK SC"/>
        <family val="2"/>
      </rPr>
      <t>로 차단</t>
    </r>
    <r>
      <rPr>
        <sz val="9"/>
        <rFont val="맑은 고딕"/>
        <family val="3"/>
        <charset val="129"/>
      </rPr>
      <t>(RAG Coverage</t>
    </r>
    <r>
      <rPr>
        <sz val="9"/>
        <rFont val="Noto Sans CJK SC"/>
        <family val="2"/>
      </rPr>
      <t xml:space="preserve">는 </t>
    </r>
    <r>
      <rPr>
        <sz val="9"/>
        <rFont val="맑은 고딕"/>
        <family val="3"/>
        <charset val="129"/>
      </rPr>
      <t>complete, Evidence</t>
    </r>
    <r>
      <rPr>
        <sz val="9"/>
        <rFont val="Noto Sans CJK SC"/>
        <family val="2"/>
      </rPr>
      <t xml:space="preserve">는 </t>
    </r>
    <r>
      <rPr>
        <sz val="9"/>
        <rFont val="맑은 고딕"/>
        <family val="3"/>
        <charset val="129"/>
      </rPr>
      <t>high_confidence</t>
    </r>
    <r>
      <rPr>
        <sz val="9"/>
        <rFont val="Noto Sans CJK SC"/>
        <family val="2"/>
      </rPr>
      <t>였음</t>
    </r>
    <r>
      <rPr>
        <sz val="9"/>
        <rFont val="맑은 고딕"/>
        <family val="3"/>
        <charset val="129"/>
      </rPr>
      <t xml:space="preserve">) — </t>
    </r>
    <r>
      <rPr>
        <sz val="9"/>
        <rFont val="Noto Sans CJK SC"/>
        <family val="2"/>
      </rPr>
      <t>통과 기준이 과보수적으로 걸린 사례</t>
    </r>
    <r>
      <rPr>
        <sz val="9"/>
        <rFont val="맑은 고딕"/>
        <family val="3"/>
        <charset val="129"/>
      </rPr>
      <t>.</t>
    </r>
  </si>
  <si>
    <r>
      <rPr>
        <sz val="9"/>
        <rFont val="맑은 고딕"/>
        <family val="3"/>
        <charset val="129"/>
      </rPr>
      <t xml:space="preserve">V3 </t>
    </r>
    <r>
      <rPr>
        <sz val="9"/>
        <rFont val="Noto Sans CJK SC"/>
        <family val="2"/>
      </rPr>
      <t>우세 — 과잉생성 억제</t>
    </r>
  </si>
  <si>
    <r>
      <rPr>
        <sz val="9"/>
        <rFont val="맑은 고딕"/>
        <family val="3"/>
        <charset val="129"/>
      </rPr>
      <t xml:space="preserve">EBX-Q-060
</t>
    </r>
    <r>
      <rPr>
        <sz val="9"/>
        <rFont val="Noto Sans CJK SC"/>
        <family val="2"/>
      </rPr>
      <t>다양성 및 포용성 정책 및 목표</t>
    </r>
  </si>
  <si>
    <r>
      <rPr>
        <sz val="9"/>
        <rFont val="맑은 고딕"/>
        <family val="3"/>
        <charset val="129"/>
      </rPr>
      <t xml:space="preserve">V2 </t>
    </r>
    <r>
      <rPr>
        <sz val="9"/>
        <rFont val="Noto Sans CJK SC"/>
        <family val="2"/>
      </rPr>
      <t xml:space="preserve">마지막 문단의 </t>
    </r>
    <r>
      <rPr>
        <sz val="9"/>
        <rFont val="맑은 고딕"/>
        <family val="3"/>
        <charset val="129"/>
      </rPr>
      <t>"2025</t>
    </r>
    <r>
      <rPr>
        <sz val="9"/>
        <rFont val="Noto Sans CJK SC"/>
        <family val="2"/>
      </rPr>
      <t>년 여성가족부 가족친화 선도기업 인증</t>
    </r>
    <r>
      <rPr>
        <sz val="9"/>
        <rFont val="맑은 고딕"/>
        <family val="3"/>
        <charset val="129"/>
      </rPr>
      <t>"</t>
    </r>
    <r>
      <rPr>
        <sz val="9"/>
        <rFont val="Noto Sans CJK SC"/>
        <family val="2"/>
      </rPr>
      <t xml:space="preserve">은 </t>
    </r>
    <r>
      <rPr>
        <sz val="9"/>
        <rFont val="맑은 고딕"/>
        <family val="3"/>
        <charset val="129"/>
      </rPr>
      <t>Evidence</t>
    </r>
    <r>
      <rPr>
        <sz val="9"/>
        <rFont val="Noto Sans CJK SC"/>
        <family val="2"/>
      </rPr>
      <t>에서 확인되지 않는 서술</t>
    </r>
    <r>
      <rPr>
        <sz val="9"/>
        <rFont val="맑은 고딕"/>
        <family val="3"/>
        <charset val="129"/>
      </rPr>
      <t>. V3</t>
    </r>
    <r>
      <rPr>
        <sz val="9"/>
        <rFont val="Noto Sans CJK SC"/>
        <family val="2"/>
      </rPr>
      <t>는 베어마트</t>
    </r>
    <r>
      <rPr>
        <sz val="9"/>
        <rFont val="맑은 고딕"/>
        <family val="3"/>
        <charset val="129"/>
      </rPr>
      <t>·11</t>
    </r>
    <r>
      <rPr>
        <sz val="9"/>
        <rFont val="Noto Sans CJK SC"/>
        <family val="2"/>
      </rPr>
      <t>인 목표까지만 쓰고 멈춤</t>
    </r>
    <r>
      <rPr>
        <sz val="9"/>
        <rFont val="맑은 고딕"/>
        <family val="3"/>
        <charset val="129"/>
      </rPr>
      <t xml:space="preserve">. </t>
    </r>
    <r>
      <rPr>
        <sz val="9"/>
        <rFont val="Noto Sans CJK SC"/>
        <family val="2"/>
      </rPr>
      <t xml:space="preserve">사실이면 </t>
    </r>
    <r>
      <rPr>
        <sz val="9"/>
        <rFont val="맑은 고딕"/>
        <family val="3"/>
        <charset val="129"/>
      </rPr>
      <t>V2</t>
    </r>
    <r>
      <rPr>
        <sz val="9"/>
        <rFont val="Noto Sans CJK SC"/>
        <family val="2"/>
      </rPr>
      <t>가 낫지만</t>
    </r>
    <r>
      <rPr>
        <sz val="9"/>
        <rFont val="맑은 고딕"/>
        <family val="3"/>
        <charset val="129"/>
      </rPr>
      <t xml:space="preserve">, </t>
    </r>
    <r>
      <rPr>
        <sz val="9"/>
        <rFont val="Noto Sans CJK SC"/>
        <family val="2"/>
      </rPr>
      <t xml:space="preserve">사실 확인 전에는 </t>
    </r>
    <r>
      <rPr>
        <sz val="9"/>
        <rFont val="맑은 고딕"/>
        <family val="3"/>
        <charset val="129"/>
      </rPr>
      <t>V2</t>
    </r>
    <r>
      <rPr>
        <sz val="9"/>
        <rFont val="Noto Sans CJK SC"/>
        <family val="2"/>
      </rPr>
      <t>가 감사 리스크</t>
    </r>
    <r>
      <rPr>
        <sz val="9"/>
        <rFont val="맑은 고딕"/>
        <family val="3"/>
        <charset val="129"/>
      </rPr>
      <t>.</t>
    </r>
  </si>
  <si>
    <r>
      <rPr>
        <b/>
        <sz val="17"/>
        <color rgb="FF1F3864"/>
        <rFont val="맑은 고딕"/>
        <family val="3"/>
        <charset val="129"/>
      </rPr>
      <t xml:space="preserve">Appendix — </t>
    </r>
    <r>
      <rPr>
        <b/>
        <sz val="17"/>
        <color rgb="FF1F3864"/>
        <rFont val="Noto Sans CJK SC"/>
        <family val="2"/>
      </rPr>
      <t>평가 기준의 출처와 활용 방법</t>
    </r>
  </si>
  <si>
    <r>
      <rPr>
        <i/>
        <sz val="10"/>
        <color rgb="FF555555"/>
        <rFont val="맑은 고딕"/>
        <family val="3"/>
        <charset val="129"/>
      </rPr>
      <t>01_</t>
    </r>
    <r>
      <rPr>
        <i/>
        <sz val="10"/>
        <color rgb="FF555555"/>
        <rFont val="Noto Sans CJK SC"/>
        <family val="2"/>
      </rPr>
      <t xml:space="preserve">평가기준 시트의 </t>
    </r>
    <r>
      <rPr>
        <i/>
        <sz val="10"/>
        <color rgb="FF555555"/>
        <rFont val="맑은 고딕"/>
        <family val="3"/>
        <charset val="129"/>
      </rPr>
      <t>10</t>
    </r>
    <r>
      <rPr>
        <i/>
        <sz val="10"/>
        <color rgb="FF555555"/>
        <rFont val="Noto Sans CJK SC"/>
        <family val="2"/>
      </rPr>
      <t>개 항목이 각각 어떤 문헌에서 왔는지</t>
    </r>
    <r>
      <rPr>
        <i/>
        <sz val="10"/>
        <color rgb="FF555555"/>
        <rFont val="맑은 고딕"/>
        <family val="3"/>
        <charset val="129"/>
      </rPr>
      <t xml:space="preserve">, </t>
    </r>
    <r>
      <rPr>
        <i/>
        <sz val="10"/>
        <color rgb="FF555555"/>
        <rFont val="Noto Sans CJK SC"/>
        <family val="2"/>
      </rPr>
      <t>그리고 어디까지가 문헌이고 어디부터가 이 분석의 자체 설계인지를 구분해 정리했습니다</t>
    </r>
    <r>
      <rPr>
        <i/>
        <sz val="10"/>
        <color rgb="FF555555"/>
        <rFont val="맑은 고딕"/>
        <family val="3"/>
        <charset val="129"/>
      </rPr>
      <t>.</t>
    </r>
  </si>
  <si>
    <r>
      <rPr>
        <b/>
        <sz val="12"/>
        <color rgb="FFFFFFFF"/>
        <rFont val="맑은 고딕"/>
        <family val="3"/>
        <charset val="129"/>
      </rPr>
      <t xml:space="preserve">1. </t>
    </r>
    <r>
      <rPr>
        <b/>
        <sz val="12"/>
        <color rgb="FFFFFFFF"/>
        <rFont val="Noto Sans CJK SC"/>
        <family val="2"/>
      </rPr>
      <t xml:space="preserve">내용 품질 축 — </t>
    </r>
    <r>
      <rPr>
        <b/>
        <sz val="12"/>
        <color rgb="FFFFFFFF"/>
        <rFont val="맑은 고딕"/>
        <family val="3"/>
        <charset val="129"/>
      </rPr>
      <t>GRI 1: Foundation 2021</t>
    </r>
  </si>
  <si>
    <r>
      <rPr>
        <i/>
        <sz val="10"/>
        <color rgb="FF555555"/>
        <rFont val="Noto Sans CJK SC"/>
        <family val="2"/>
      </rPr>
      <t>지속가능경영보고서라는 장르의 품질 기준으로 사실상 표준</t>
    </r>
    <r>
      <rPr>
        <i/>
        <sz val="10"/>
        <color rgb="FF555555"/>
        <rFont val="맑은 고딕"/>
        <family val="3"/>
        <charset val="129"/>
      </rPr>
      <t xml:space="preserve">. </t>
    </r>
    <r>
      <rPr>
        <i/>
        <sz val="10"/>
        <color rgb="FF555555"/>
        <rFont val="Noto Sans CJK SC"/>
        <family val="2"/>
      </rPr>
      <t>정확성</t>
    </r>
    <r>
      <rPr>
        <i/>
        <sz val="10"/>
        <color rgb="FF555555"/>
        <rFont val="맑은 고딕"/>
        <family val="3"/>
        <charset val="129"/>
      </rPr>
      <t>·</t>
    </r>
    <r>
      <rPr>
        <i/>
        <sz val="10"/>
        <color rgb="FF555555"/>
        <rFont val="Noto Sans CJK SC"/>
        <family val="2"/>
      </rPr>
      <t>균형</t>
    </r>
    <r>
      <rPr>
        <i/>
        <sz val="10"/>
        <color rgb="FF555555"/>
        <rFont val="맑은 고딕"/>
        <family val="3"/>
        <charset val="129"/>
      </rPr>
      <t>·</t>
    </r>
    <r>
      <rPr>
        <i/>
        <sz val="10"/>
        <color rgb="FF555555"/>
        <rFont val="Noto Sans CJK SC"/>
        <family val="2"/>
      </rPr>
      <t>명확성</t>
    </r>
    <r>
      <rPr>
        <i/>
        <sz val="10"/>
        <color rgb="FF555555"/>
        <rFont val="맑은 고딕"/>
        <family val="3"/>
        <charset val="129"/>
      </rPr>
      <t>·</t>
    </r>
    <r>
      <rPr>
        <i/>
        <sz val="10"/>
        <color rgb="FF555555"/>
        <rFont val="Noto Sans CJK SC"/>
        <family val="2"/>
      </rPr>
      <t>비교가능성</t>
    </r>
    <r>
      <rPr>
        <i/>
        <sz val="10"/>
        <color rgb="FF555555"/>
        <rFont val="맑은 고딕"/>
        <family val="3"/>
        <charset val="129"/>
      </rPr>
      <t>·</t>
    </r>
    <r>
      <rPr>
        <i/>
        <sz val="10"/>
        <color rgb="FF555555"/>
        <rFont val="Noto Sans CJK SC"/>
        <family val="2"/>
      </rPr>
      <t>완전성</t>
    </r>
    <r>
      <rPr>
        <i/>
        <sz val="10"/>
        <color rgb="FF555555"/>
        <rFont val="맑은 고딕"/>
        <family val="3"/>
        <charset val="129"/>
      </rPr>
      <t>·</t>
    </r>
    <r>
      <rPr>
        <i/>
        <sz val="10"/>
        <color rgb="FF555555"/>
        <rFont val="Noto Sans CJK SC"/>
        <family val="2"/>
      </rPr>
      <t>지속가능성 맥락</t>
    </r>
    <r>
      <rPr>
        <i/>
        <sz val="10"/>
        <color rgb="FF555555"/>
        <rFont val="맑은 고딕"/>
        <family val="3"/>
        <charset val="129"/>
      </rPr>
      <t>·</t>
    </r>
    <r>
      <rPr>
        <i/>
        <sz val="10"/>
        <color rgb="FF555555"/>
        <rFont val="Noto Sans CJK SC"/>
        <family val="2"/>
      </rPr>
      <t>적시성</t>
    </r>
    <r>
      <rPr>
        <i/>
        <sz val="10"/>
        <color rgb="FF555555"/>
        <rFont val="맑은 고딕"/>
        <family val="3"/>
        <charset val="129"/>
      </rPr>
      <t>·</t>
    </r>
    <r>
      <rPr>
        <i/>
        <sz val="10"/>
        <color rgb="FF555555"/>
        <rFont val="Noto Sans CJK SC"/>
        <family val="2"/>
      </rPr>
      <t xml:space="preserve">검증가능성 </t>
    </r>
    <r>
      <rPr>
        <i/>
        <sz val="10"/>
        <color rgb="FF555555"/>
        <rFont val="맑은 고딕"/>
        <family val="3"/>
        <charset val="129"/>
      </rPr>
      <t>8</t>
    </r>
    <r>
      <rPr>
        <i/>
        <sz val="10"/>
        <color rgb="FF555555"/>
        <rFont val="Noto Sans CJK SC"/>
        <family val="2"/>
      </rPr>
      <t>개 원칙을 규정하며</t>
    </r>
    <r>
      <rPr>
        <i/>
        <sz val="10"/>
        <color rgb="FF555555"/>
        <rFont val="맑은 고딕"/>
        <family val="3"/>
        <charset val="129"/>
      </rPr>
      <t xml:space="preserve">, GRI </t>
    </r>
    <r>
      <rPr>
        <i/>
        <sz val="10"/>
        <color rgb="FF555555"/>
        <rFont val="Noto Sans CJK SC"/>
        <family val="2"/>
      </rPr>
      <t>기준에 따라 작성했다고 주장하려면 이 원칙들을 적용해야 한다고 명시합니다</t>
    </r>
    <r>
      <rPr>
        <i/>
        <sz val="10"/>
        <color rgb="FF555555"/>
        <rFont val="맑은 고딕"/>
        <family val="3"/>
        <charset val="129"/>
      </rPr>
      <t>.</t>
    </r>
  </si>
  <si>
    <t>자료</t>
  </si>
  <si>
    <r>
      <rPr>
        <b/>
        <sz val="10"/>
        <color rgb="FFFFFFFF"/>
        <rFont val="Noto Sans CJK SC"/>
        <family val="2"/>
      </rPr>
      <t xml:space="preserve">발행처 </t>
    </r>
    <r>
      <rPr>
        <b/>
        <sz val="10"/>
        <color rgb="FFFFFFFF"/>
        <rFont val="맑은 고딕"/>
        <family val="3"/>
        <charset val="129"/>
      </rPr>
      <t xml:space="preserve">/ </t>
    </r>
    <r>
      <rPr>
        <b/>
        <sz val="10"/>
        <color rgb="FFFFFFFF"/>
        <rFont val="Noto Sans CJK SC"/>
        <family val="2"/>
      </rPr>
      <t>연도</t>
    </r>
  </si>
  <si>
    <t>링크</t>
  </si>
  <si>
    <t>이 분석에서 도출한 항목</t>
  </si>
  <si>
    <t>확인한 범위</t>
  </si>
  <si>
    <r>
      <rPr>
        <b/>
        <sz val="9"/>
        <rFont val="맑은 고딕"/>
        <family val="3"/>
        <charset val="129"/>
      </rPr>
      <t>GRI 1: Foundation 2021 (</t>
    </r>
    <r>
      <rPr>
        <b/>
        <sz val="9"/>
        <rFont val="Noto Sans CJK SC"/>
        <family val="2"/>
      </rPr>
      <t>원문</t>
    </r>
    <r>
      <rPr>
        <b/>
        <sz val="9"/>
        <rFont val="맑은 고딕"/>
        <family val="3"/>
        <charset val="129"/>
      </rPr>
      <t>)</t>
    </r>
  </si>
  <si>
    <t>Global Sustainability Standards Board / 2021</t>
  </si>
  <si>
    <t>https://www.globalreporting.org/publications/documents/english/gri-1-foundation-2021/</t>
  </si>
  <si>
    <r>
      <rPr>
        <sz val="9"/>
        <rFont val="맑은 고딕"/>
        <family val="3"/>
        <charset val="129"/>
      </rPr>
      <t xml:space="preserve">C1 </t>
    </r>
    <r>
      <rPr>
        <sz val="9"/>
        <rFont val="Noto Sans CJK SC"/>
        <family val="2"/>
      </rPr>
      <t>완전성</t>
    </r>
    <r>
      <rPr>
        <sz val="9"/>
        <rFont val="맑은 고딕"/>
        <family val="3"/>
        <charset val="129"/>
      </rPr>
      <t xml:space="preserve">, C2 </t>
    </r>
    <r>
      <rPr>
        <sz val="9"/>
        <rFont val="Noto Sans CJK SC"/>
        <family val="2"/>
      </rPr>
      <t>항목 적합성</t>
    </r>
    <r>
      <rPr>
        <sz val="9"/>
        <rFont val="맑은 고딕"/>
        <family val="3"/>
        <charset val="129"/>
      </rPr>
      <t xml:space="preserve">, C3 </t>
    </r>
    <r>
      <rPr>
        <sz val="9"/>
        <rFont val="Noto Sans CJK SC"/>
        <family val="2"/>
      </rPr>
      <t>근거 충실성</t>
    </r>
    <r>
      <rPr>
        <sz val="9"/>
        <rFont val="맑은 고딕"/>
        <family val="3"/>
        <charset val="129"/>
      </rPr>
      <t>·</t>
    </r>
    <r>
      <rPr>
        <sz val="9"/>
        <rFont val="Noto Sans CJK SC"/>
        <family val="2"/>
      </rPr>
      <t>검증가능성</t>
    </r>
    <r>
      <rPr>
        <sz val="9"/>
        <rFont val="맑은 고딕"/>
        <family val="3"/>
        <charset val="129"/>
      </rPr>
      <t xml:space="preserve">, C4 </t>
    </r>
    <r>
      <rPr>
        <sz val="9"/>
        <rFont val="Noto Sans CJK SC"/>
        <family val="2"/>
      </rPr>
      <t>균형성</t>
    </r>
    <r>
      <rPr>
        <sz val="9"/>
        <rFont val="맑은 고딕"/>
        <family val="3"/>
        <charset val="129"/>
      </rPr>
      <t xml:space="preserve">, C5 </t>
    </r>
    <r>
      <rPr>
        <sz val="9"/>
        <rFont val="Noto Sans CJK SC"/>
        <family val="2"/>
      </rPr>
      <t>구체성</t>
    </r>
    <r>
      <rPr>
        <sz val="9"/>
        <rFont val="맑은 고딕"/>
        <family val="3"/>
        <charset val="129"/>
      </rPr>
      <t xml:space="preserve">, C6 </t>
    </r>
    <r>
      <rPr>
        <sz val="9"/>
        <rFont val="Noto Sans CJK SC"/>
        <family val="2"/>
      </rPr>
      <t>명확성</t>
    </r>
  </si>
  <si>
    <t>원칙 목록 및 적용 요건 — 확정적 사실로 확인</t>
  </si>
  <si>
    <r>
      <rPr>
        <b/>
        <sz val="9"/>
        <rFont val="맑은 고딕"/>
        <family val="3"/>
        <charset val="129"/>
      </rPr>
      <t xml:space="preserve">GSSB </t>
    </r>
    <r>
      <rPr>
        <b/>
        <sz val="9"/>
        <rFont val="Noto Sans CJK SC"/>
        <family val="2"/>
      </rPr>
      <t xml:space="preserve">보고원칙 상세 </t>
    </r>
    <r>
      <rPr>
        <b/>
        <sz val="9"/>
        <rFont val="맑은 고딕"/>
        <family val="3"/>
        <charset val="129"/>
      </rPr>
      <t>(</t>
    </r>
    <r>
      <rPr>
        <b/>
        <sz val="9"/>
        <rFont val="Noto Sans CJK SC"/>
        <family val="2"/>
      </rPr>
      <t xml:space="preserve">개정 </t>
    </r>
    <r>
      <rPr>
        <b/>
        <sz val="9"/>
        <rFont val="맑은 고딕"/>
        <family val="3"/>
        <charset val="129"/>
      </rPr>
      <t>GRI 101 Section 4, PDF)</t>
    </r>
  </si>
  <si>
    <t>Global Reporting Initiative</t>
  </si>
  <si>
    <t>https://www.globalreporting.org/media/uaqpeetc/item-06-gri-universal-standards-project-revised-gri-101-section-4-reporting-principles.pdf</t>
  </si>
  <si>
    <r>
      <rPr>
        <sz val="9"/>
        <rFont val="맑은 고딕"/>
        <family val="3"/>
        <charset val="129"/>
      </rPr>
      <t>C3</t>
    </r>
    <r>
      <rPr>
        <sz val="9"/>
        <rFont val="Noto Sans CJK SC"/>
        <family val="2"/>
      </rPr>
      <t>을 완전성에서 분리한 근거</t>
    </r>
    <r>
      <rPr>
        <sz val="9"/>
        <rFont val="맑은 고딕"/>
        <family val="3"/>
        <charset val="129"/>
      </rPr>
      <t>. "</t>
    </r>
    <r>
      <rPr>
        <sz val="9"/>
        <rFont val="Noto Sans CJK SC"/>
        <family val="2"/>
      </rPr>
      <t>완전성은 상세도 수준과 이용 가능한 증거와의 일관성에 좌우된다</t>
    </r>
    <r>
      <rPr>
        <sz val="9"/>
        <rFont val="맑은 고딕"/>
        <family val="3"/>
        <charset val="129"/>
      </rPr>
      <t>"</t>
    </r>
    <r>
      <rPr>
        <sz val="9"/>
        <rFont val="Noto Sans CJK SC"/>
        <family val="2"/>
      </rPr>
      <t>는 규정에 따라 근거 충실성을 독립 항목화</t>
    </r>
  </si>
  <si>
    <t>해당 대목만 확인 — 전문 통독은 하지 않음</t>
  </si>
  <si>
    <r>
      <rPr>
        <b/>
        <sz val="12"/>
        <color rgb="FFFFFFFF"/>
        <rFont val="맑은 고딕"/>
        <family val="3"/>
        <charset val="129"/>
      </rPr>
      <t xml:space="preserve">2. </t>
    </r>
    <r>
      <rPr>
        <b/>
        <sz val="12"/>
        <color rgb="FFFFFFFF"/>
        <rFont val="Noto Sans CJK SC"/>
        <family val="2"/>
      </rPr>
      <t xml:space="preserve">문체 인간유사성 축 — </t>
    </r>
    <r>
      <rPr>
        <b/>
        <sz val="12"/>
        <color rgb="FFFFFFFF"/>
        <rFont val="맑은 고딕"/>
        <family val="3"/>
        <charset val="129"/>
      </rPr>
      <t xml:space="preserve">AI </t>
    </r>
    <r>
      <rPr>
        <b/>
        <sz val="12"/>
        <color rgb="FFFFFFFF"/>
        <rFont val="Noto Sans CJK SC"/>
        <family val="2"/>
      </rPr>
      <t>생성문 탐지 문헌</t>
    </r>
  </si>
  <si>
    <r>
      <rPr>
        <i/>
        <sz val="10"/>
        <color rgb="FF555555"/>
        <rFont val="맑은 고딕"/>
        <family val="3"/>
        <charset val="129"/>
      </rPr>
      <t xml:space="preserve">"AI </t>
    </r>
    <r>
      <rPr>
        <i/>
        <sz val="10"/>
        <color rgb="FF555555"/>
        <rFont val="Noto Sans CJK SC"/>
        <family val="2"/>
      </rPr>
      <t>텍스트는 인간 대비 문장 구조가 균일하고 어휘 반복률이 높다</t>
    </r>
    <r>
      <rPr>
        <i/>
        <sz val="10"/>
        <color rgb="FF555555"/>
        <rFont val="맑은 고딕"/>
        <family val="3"/>
        <charset val="129"/>
      </rPr>
      <t>"</t>
    </r>
    <r>
      <rPr>
        <i/>
        <sz val="10"/>
        <color rgb="FF555555"/>
        <rFont val="Noto Sans CJK SC"/>
        <family val="2"/>
      </rPr>
      <t xml:space="preserve">는 공통 관찰에서 </t>
    </r>
    <r>
      <rPr>
        <i/>
        <sz val="10"/>
        <color rgb="FF555555"/>
        <rFont val="맑은 고딕"/>
        <family val="3"/>
        <charset val="129"/>
      </rPr>
      <t>C8·C9·C10</t>
    </r>
    <r>
      <rPr>
        <i/>
        <sz val="10"/>
        <color rgb="FF555555"/>
        <rFont val="Noto Sans CJK SC"/>
        <family val="2"/>
      </rPr>
      <t>을 도출</t>
    </r>
    <r>
      <rPr>
        <i/>
        <sz val="10"/>
        <color rgb="FF555555"/>
        <rFont val="맑은 고딕"/>
        <family val="3"/>
        <charset val="129"/>
      </rPr>
      <t xml:space="preserve">. </t>
    </r>
    <r>
      <rPr>
        <i/>
        <sz val="10"/>
        <color rgb="FF555555"/>
        <rFont val="Noto Sans CJK SC"/>
        <family val="2"/>
      </rPr>
      <t>단</t>
    </r>
    <r>
      <rPr>
        <i/>
        <sz val="10"/>
        <color rgb="FF555555"/>
        <rFont val="맑은 고딕"/>
        <family val="3"/>
        <charset val="129"/>
      </rPr>
      <t xml:space="preserve">, </t>
    </r>
    <r>
      <rPr>
        <i/>
        <sz val="10"/>
        <color rgb="FF555555"/>
        <rFont val="Noto Sans CJK SC"/>
        <family val="2"/>
      </rPr>
      <t>이 지표들의 한계를 지적하는 반론 문헌을 의도적으로 함께 반영했습니다</t>
    </r>
    <r>
      <rPr>
        <i/>
        <sz val="10"/>
        <color rgb="FF555555"/>
        <rFont val="맑은 고딕"/>
        <family val="3"/>
        <charset val="129"/>
      </rPr>
      <t>.</t>
    </r>
  </si>
  <si>
    <t>A Comparative Analysis of AI-Generated and Human-Written Text (Kujur)</t>
  </si>
  <si>
    <t>SSRN / 2025</t>
  </si>
  <si>
    <t>https://papers.ssrn.com/sol3/Delivery.cfm/5833302.pdf?abstractid=5833302</t>
  </si>
  <si>
    <r>
      <rPr>
        <sz val="9"/>
        <rFont val="맑은 고딕"/>
        <family val="3"/>
        <charset val="129"/>
      </rPr>
      <t xml:space="preserve">C8 </t>
    </r>
    <r>
      <rPr>
        <sz val="9"/>
        <rFont val="Noto Sans CJK SC"/>
        <family val="2"/>
      </rPr>
      <t>버스티니스</t>
    </r>
    <r>
      <rPr>
        <sz val="9"/>
        <rFont val="맑은 고딕"/>
        <family val="3"/>
        <charset val="129"/>
      </rPr>
      <t xml:space="preserve">, C9 </t>
    </r>
    <r>
      <rPr>
        <sz val="9"/>
        <rFont val="Noto Sans CJK SC"/>
        <family val="2"/>
      </rPr>
      <t>상투어 회피</t>
    </r>
    <r>
      <rPr>
        <sz val="9"/>
        <rFont val="맑은 고딕"/>
        <family val="3"/>
        <charset val="129"/>
      </rPr>
      <t xml:space="preserve">, C10 </t>
    </r>
    <r>
      <rPr>
        <sz val="9"/>
        <rFont val="Noto Sans CJK SC"/>
        <family val="2"/>
      </rPr>
      <t>어휘 다양성</t>
    </r>
  </si>
  <si>
    <r>
      <rPr>
        <sz val="9"/>
        <rFont val="Noto Sans CJK SC"/>
        <family val="2"/>
      </rPr>
      <t xml:space="preserve">초록 수준 — </t>
    </r>
    <r>
      <rPr>
        <sz val="9"/>
        <rFont val="맑은 고딕"/>
        <family val="3"/>
        <charset val="129"/>
      </rPr>
      <t xml:space="preserve">AI </t>
    </r>
    <r>
      <rPr>
        <sz val="9"/>
        <rFont val="Noto Sans CJK SC"/>
        <family val="2"/>
      </rPr>
      <t>문장의 낮은 퍼플렉시티</t>
    </r>
    <r>
      <rPr>
        <sz val="9"/>
        <rFont val="맑은 고딕"/>
        <family val="3"/>
        <charset val="129"/>
      </rPr>
      <t>·</t>
    </r>
    <r>
      <rPr>
        <sz val="9"/>
        <rFont val="Noto Sans CJK SC"/>
        <family val="2"/>
      </rPr>
      <t>균일한 구조</t>
    </r>
    <r>
      <rPr>
        <sz val="9"/>
        <rFont val="맑은 고딕"/>
        <family val="3"/>
        <charset val="129"/>
      </rPr>
      <t>·</t>
    </r>
    <r>
      <rPr>
        <sz val="9"/>
        <rFont val="Noto Sans CJK SC"/>
        <family val="2"/>
      </rPr>
      <t>높은 어휘 반복률</t>
    </r>
    <r>
      <rPr>
        <sz val="9"/>
        <rFont val="맑은 고딕"/>
        <family val="3"/>
        <charset val="129"/>
      </rPr>
      <t xml:space="preserve">. </t>
    </r>
    <r>
      <rPr>
        <sz val="9"/>
        <rFont val="Noto Sans CJK SC"/>
        <family val="2"/>
      </rPr>
      <t>다만 모델 발전에 따라 이 차이가 축소된다는 단서도 함께 제시됨</t>
    </r>
  </si>
  <si>
    <t>AI-Generated Text Detection: A Comprehensive Review</t>
  </si>
  <si>
    <t>ScienceDirect / 2026</t>
  </si>
  <si>
    <t>https://www.sciencedirect.com/org/science/article/pii/S1546221826000482</t>
  </si>
  <si>
    <r>
      <rPr>
        <sz val="9"/>
        <rFont val="Noto Sans CJK SC"/>
        <family val="2"/>
      </rPr>
      <t>탐지 신호 분류 체계</t>
    </r>
    <r>
      <rPr>
        <sz val="9"/>
        <rFont val="맑은 고딕"/>
        <family val="3"/>
        <charset val="129"/>
      </rPr>
      <t>(</t>
    </r>
    <r>
      <rPr>
        <sz val="9"/>
        <rFont val="Noto Sans CJK SC"/>
        <family val="2"/>
      </rPr>
      <t>어휘 분포</t>
    </r>
    <r>
      <rPr>
        <sz val="9"/>
        <rFont val="맑은 고딕"/>
        <family val="3"/>
        <charset val="129"/>
      </rPr>
      <t>·</t>
    </r>
    <r>
      <rPr>
        <sz val="9"/>
        <rFont val="Noto Sans CJK SC"/>
        <family val="2"/>
      </rPr>
      <t>버스티니스</t>
    </r>
    <r>
      <rPr>
        <sz val="9"/>
        <rFont val="맑은 고딕"/>
        <family val="3"/>
        <charset val="129"/>
      </rPr>
      <t>·</t>
    </r>
    <r>
      <rPr>
        <sz val="9"/>
        <rFont val="Noto Sans CJK SC"/>
        <family val="2"/>
      </rPr>
      <t>구문 규칙성</t>
    </r>
    <r>
      <rPr>
        <sz val="9"/>
        <rFont val="맑은 고딕"/>
        <family val="3"/>
        <charset val="129"/>
      </rPr>
      <t>·</t>
    </r>
    <r>
      <rPr>
        <sz val="9"/>
        <rFont val="Noto Sans CJK SC"/>
        <family val="2"/>
      </rPr>
      <t>담화 일관성</t>
    </r>
    <r>
      <rPr>
        <sz val="9"/>
        <rFont val="맑은 고딕"/>
        <family val="3"/>
        <charset val="129"/>
      </rPr>
      <t>)</t>
    </r>
    <r>
      <rPr>
        <sz val="9"/>
        <rFont val="Noto Sans CJK SC"/>
        <family val="2"/>
      </rPr>
      <t>를 항목 구성 틀로 참조</t>
    </r>
  </si>
  <si>
    <t>초록 수준</t>
  </si>
  <si>
    <t>★ Why Perplexity and Burstiness Fail to Detect AI</t>
  </si>
  <si>
    <t>Pangram / 2025</t>
  </si>
  <si>
    <t>https://www.pangram.com/blog/why-perplexity-and-burstiness-fail-to-detect-ai</t>
  </si>
  <si>
    <r>
      <rPr>
        <sz val="9"/>
        <rFont val="Noto Sans CJK SC"/>
        <family val="2"/>
      </rPr>
      <t>반론 자료</t>
    </r>
    <r>
      <rPr>
        <sz val="9"/>
        <rFont val="맑은 고딕"/>
        <family val="3"/>
        <charset val="129"/>
      </rPr>
      <t xml:space="preserve">. </t>
    </r>
    <r>
      <rPr>
        <sz val="9"/>
        <rFont val="Noto Sans CJK SC"/>
        <family val="2"/>
      </rPr>
      <t xml:space="preserve">버스티니스 가중치를 </t>
    </r>
    <r>
      <rPr>
        <sz val="9"/>
        <rFont val="맑은 고딕"/>
        <family val="3"/>
        <charset val="129"/>
      </rPr>
      <t>5~10</t>
    </r>
    <r>
      <rPr>
        <sz val="9"/>
        <rFont val="Noto Sans CJK SC"/>
        <family val="2"/>
      </rPr>
      <t>점으로 낮게 두고</t>
    </r>
    <r>
      <rPr>
        <sz val="9"/>
        <rFont val="맑은 고딕"/>
        <family val="3"/>
        <charset val="129"/>
      </rPr>
      <t>, 3</t>
    </r>
    <r>
      <rPr>
        <sz val="9"/>
        <rFont val="Noto Sans CJK SC"/>
        <family val="2"/>
      </rPr>
      <t>문장 이상으로 길이를 통제해 재검증한 근거</t>
    </r>
  </si>
  <si>
    <r>
      <rPr>
        <sz val="9"/>
        <rFont val="Noto Sans CJK SC"/>
        <family val="2"/>
      </rPr>
      <t xml:space="preserve">핵심 논지 확인 — 비원어민 글이 낮은 버스티니스로 </t>
    </r>
    <r>
      <rPr>
        <sz val="9"/>
        <rFont val="맑은 고딕"/>
        <family val="3"/>
        <charset val="129"/>
      </rPr>
      <t xml:space="preserve">AI </t>
    </r>
    <r>
      <rPr>
        <sz val="9"/>
        <rFont val="Noto Sans CJK SC"/>
        <family val="2"/>
      </rPr>
      <t>오판되며</t>
    </r>
    <r>
      <rPr>
        <sz val="9"/>
        <rFont val="맑은 고딕"/>
        <family val="3"/>
        <charset val="129"/>
      </rPr>
      <t xml:space="preserve">, </t>
    </r>
    <r>
      <rPr>
        <sz val="9"/>
        <rFont val="Noto Sans CJK SC"/>
        <family val="2"/>
      </rPr>
      <t>성경</t>
    </r>
    <r>
      <rPr>
        <sz val="9"/>
        <rFont val="맑은 고딕"/>
        <family val="3"/>
        <charset val="129"/>
      </rPr>
      <t>·</t>
    </r>
    <r>
      <rPr>
        <sz val="9"/>
        <rFont val="Noto Sans CJK SC"/>
        <family val="2"/>
      </rPr>
      <t xml:space="preserve">미국 헌법 일부도 </t>
    </r>
    <r>
      <rPr>
        <sz val="9"/>
        <rFont val="맑은 고딕"/>
        <family val="3"/>
        <charset val="129"/>
      </rPr>
      <t>AI</t>
    </r>
    <r>
      <rPr>
        <sz val="9"/>
        <rFont val="Noto Sans CJK SC"/>
        <family val="2"/>
      </rPr>
      <t>로 분류된 사례가 있음</t>
    </r>
  </si>
  <si>
    <t>★ 이 반론 자료가 실제로 결론을 바꿨습니다</t>
  </si>
  <si>
    <r>
      <rPr>
        <sz val="9"/>
        <rFont val="Noto Sans CJK SC"/>
        <family val="2"/>
      </rPr>
      <t xml:space="preserve">전체 평균 버스티니스만 보면 </t>
    </r>
    <r>
      <rPr>
        <sz val="9"/>
        <rFont val="맑은 고딕"/>
        <family val="3"/>
        <charset val="129"/>
      </rPr>
      <t>V2</t>
    </r>
    <r>
      <rPr>
        <sz val="9"/>
        <rFont val="Noto Sans CJK SC"/>
        <family val="2"/>
      </rPr>
      <t xml:space="preserve">가 </t>
    </r>
    <r>
      <rPr>
        <sz val="9"/>
        <rFont val="맑은 고딕"/>
        <family val="3"/>
        <charset val="129"/>
      </rPr>
      <t>0.230, V3</t>
    </r>
    <r>
      <rPr>
        <sz val="9"/>
        <rFont val="Noto Sans CJK SC"/>
        <family val="2"/>
      </rPr>
      <t xml:space="preserve">가 </t>
    </r>
    <r>
      <rPr>
        <sz val="9"/>
        <rFont val="맑은 고딕"/>
        <family val="3"/>
        <charset val="129"/>
      </rPr>
      <t>0.185</t>
    </r>
    <r>
      <rPr>
        <sz val="9"/>
        <rFont val="Noto Sans CJK SC"/>
        <family val="2"/>
      </rPr>
      <t xml:space="preserve">로 </t>
    </r>
    <r>
      <rPr>
        <sz val="9"/>
        <rFont val="맑은 고딕"/>
        <family val="3"/>
        <charset val="129"/>
      </rPr>
      <t>"V2</t>
    </r>
    <r>
      <rPr>
        <sz val="9"/>
        <rFont val="Noto Sans CJK SC"/>
        <family val="2"/>
      </rPr>
      <t>가 훨씬 사람 같다</t>
    </r>
    <r>
      <rPr>
        <sz val="9"/>
        <rFont val="맑은 고딕"/>
        <family val="3"/>
        <charset val="129"/>
      </rPr>
      <t>"</t>
    </r>
    <r>
      <rPr>
        <sz val="9"/>
        <rFont val="Noto Sans CJK SC"/>
        <family val="2"/>
      </rPr>
      <t>는 결론이 나옵니다</t>
    </r>
    <r>
      <rPr>
        <sz val="9"/>
        <rFont val="맑은 고딕"/>
        <family val="3"/>
        <charset val="129"/>
      </rPr>
      <t xml:space="preserve">. </t>
    </r>
    <r>
      <rPr>
        <sz val="9"/>
        <rFont val="Noto Sans CJK SC"/>
        <family val="2"/>
      </rPr>
      <t xml:space="preserve">그러나 </t>
    </r>
    <r>
      <rPr>
        <sz val="9"/>
        <rFont val="맑은 고딕"/>
        <family val="3"/>
        <charset val="129"/>
      </rPr>
      <t>Pangram</t>
    </r>
    <r>
      <rPr>
        <sz val="9"/>
        <rFont val="Noto Sans CJK SC"/>
        <family val="2"/>
      </rPr>
      <t>의 지적</t>
    </r>
    <r>
      <rPr>
        <sz val="9"/>
        <rFont val="맑은 고딕"/>
        <family val="3"/>
        <charset val="129"/>
      </rPr>
      <t>(</t>
    </r>
    <r>
      <rPr>
        <sz val="9"/>
        <rFont val="Noto Sans CJK SC"/>
        <family val="2"/>
      </rPr>
      <t>짧고 단순한 텍스트일수록 버스티니스가 구조적으로 낮게 나옴</t>
    </r>
    <r>
      <rPr>
        <sz val="9"/>
        <rFont val="맑은 고딕"/>
        <family val="3"/>
        <charset val="129"/>
      </rPr>
      <t>)</t>
    </r>
    <r>
      <rPr>
        <sz val="9"/>
        <rFont val="Noto Sans CJK SC"/>
        <family val="2"/>
      </rPr>
      <t xml:space="preserve">에 따라 </t>
    </r>
    <r>
      <rPr>
        <sz val="9"/>
        <rFont val="맑은 고딕"/>
        <family val="3"/>
        <charset val="129"/>
      </rPr>
      <t>3</t>
    </r>
    <r>
      <rPr>
        <sz val="9"/>
        <rFont val="Noto Sans CJK SC"/>
        <family val="2"/>
      </rPr>
      <t xml:space="preserve">문장 이상인 </t>
    </r>
    <r>
      <rPr>
        <sz val="9"/>
        <rFont val="맑은 고딕"/>
        <family val="3"/>
        <charset val="129"/>
      </rPr>
      <t>28</t>
    </r>
    <r>
      <rPr>
        <sz val="9"/>
        <rFont val="Noto Sans CJK SC"/>
        <family val="2"/>
      </rPr>
      <t xml:space="preserve">건만 재계산하자 </t>
    </r>
    <r>
      <rPr>
        <sz val="9"/>
        <rFont val="맑은 고딕"/>
        <family val="3"/>
        <charset val="129"/>
      </rPr>
      <t>0.242 vs 0.249</t>
    </r>
    <r>
      <rPr>
        <sz val="9"/>
        <rFont val="Noto Sans CJK SC"/>
        <family val="2"/>
      </rPr>
      <t xml:space="preserve">로 오히려 </t>
    </r>
    <r>
      <rPr>
        <sz val="9"/>
        <rFont val="맑은 고딕"/>
        <family val="3"/>
        <charset val="129"/>
      </rPr>
      <t>V3</t>
    </r>
    <r>
      <rPr>
        <sz val="9"/>
        <rFont val="Noto Sans CJK SC"/>
        <family val="2"/>
      </rPr>
      <t>가 근소 우위로 뒤집혔습니다</t>
    </r>
    <r>
      <rPr>
        <sz val="9"/>
        <rFont val="맑은 고딕"/>
        <family val="3"/>
        <charset val="129"/>
      </rPr>
      <t xml:space="preserve">. </t>
    </r>
    <r>
      <rPr>
        <sz val="9"/>
        <rFont val="Noto Sans CJK SC"/>
        <family val="2"/>
      </rPr>
      <t>이 반론을 참조하지 않았다면 오판했을 지점입니다</t>
    </r>
    <r>
      <rPr>
        <sz val="9"/>
        <rFont val="맑은 고딕"/>
        <family val="3"/>
        <charset val="129"/>
      </rPr>
      <t>. 03_</t>
    </r>
    <r>
      <rPr>
        <sz val="9"/>
        <rFont val="Noto Sans CJK SC"/>
        <family val="2"/>
      </rPr>
      <t>지표실측 시트에서 두 행을 나란히 비교해 보실 수 있습니다</t>
    </r>
    <r>
      <rPr>
        <sz val="9"/>
        <rFont val="맑은 고딕"/>
        <family val="3"/>
        <charset val="129"/>
      </rPr>
      <t>.</t>
    </r>
  </si>
  <si>
    <r>
      <rPr>
        <b/>
        <sz val="12"/>
        <color rgb="FFFFFFFF"/>
        <rFont val="맑은 고딕"/>
        <family val="3"/>
        <charset val="129"/>
      </rPr>
      <t xml:space="preserve">3. </t>
    </r>
    <r>
      <rPr>
        <b/>
        <sz val="12"/>
        <color rgb="FFFFFFFF"/>
        <rFont val="Noto Sans CJK SC"/>
        <family val="2"/>
      </rPr>
      <t xml:space="preserve">평가 축 설계 — </t>
    </r>
    <r>
      <rPr>
        <b/>
        <sz val="12"/>
        <color rgb="FFFFFFFF"/>
        <rFont val="맑은 고딕"/>
        <family val="3"/>
        <charset val="129"/>
      </rPr>
      <t xml:space="preserve">NLG </t>
    </r>
    <r>
      <rPr>
        <b/>
        <sz val="12"/>
        <color rgb="FFFFFFFF"/>
        <rFont val="Noto Sans CJK SC"/>
        <family val="2"/>
      </rPr>
      <t>인간평가 문헌</t>
    </r>
  </si>
  <si>
    <r>
      <rPr>
        <i/>
        <sz val="10"/>
        <color rgb="FF555555"/>
        <rFont val="맑은 고딕"/>
        <family val="3"/>
        <charset val="129"/>
      </rPr>
      <t>"</t>
    </r>
    <r>
      <rPr>
        <i/>
        <sz val="10"/>
        <color rgb="FF555555"/>
        <rFont val="Noto Sans CJK SC"/>
        <family val="2"/>
      </rPr>
      <t>자연스러움</t>
    </r>
    <r>
      <rPr>
        <i/>
        <sz val="10"/>
        <color rgb="FF555555"/>
        <rFont val="맑은 고딕"/>
        <family val="3"/>
        <charset val="129"/>
      </rPr>
      <t>"</t>
    </r>
    <r>
      <rPr>
        <i/>
        <sz val="10"/>
        <color rgb="FF555555"/>
        <rFont val="Noto Sans CJK SC"/>
        <family val="2"/>
      </rPr>
      <t>을 단일 척도로 두지 않고 유창성</t>
    </r>
    <r>
      <rPr>
        <i/>
        <sz val="10"/>
        <color rgb="FF555555"/>
        <rFont val="맑은 고딕"/>
        <family val="3"/>
        <charset val="129"/>
      </rPr>
      <t>·</t>
    </r>
    <r>
      <rPr>
        <i/>
        <sz val="10"/>
        <color rgb="FF555555"/>
        <rFont val="Noto Sans CJK SC"/>
        <family val="2"/>
      </rPr>
      <t>충실성</t>
    </r>
    <r>
      <rPr>
        <i/>
        <sz val="10"/>
        <color rgb="FF555555"/>
        <rFont val="맑은 고딕"/>
        <family val="3"/>
        <charset val="129"/>
      </rPr>
      <t>·</t>
    </r>
    <r>
      <rPr>
        <i/>
        <sz val="10"/>
        <color rgb="FF555555"/>
        <rFont val="Noto Sans CJK SC"/>
        <family val="2"/>
      </rPr>
      <t>정보성으로 분해한 근거</t>
    </r>
    <r>
      <rPr>
        <i/>
        <sz val="10"/>
        <color rgb="FF555555"/>
        <rFont val="맑은 고딕"/>
        <family val="3"/>
        <charset val="129"/>
      </rPr>
      <t>.</t>
    </r>
  </si>
  <si>
    <t>INLG 2020 / ACL Anthology</t>
  </si>
  <si>
    <t>https://aclanthology.org/2020.inlg-1.23/  ·  PDF: https://pure.hw.ac.uk/ws/portalfiles/portal/54138831/2020.inlg_1.23.pdf</t>
  </si>
  <si>
    <r>
      <rPr>
        <sz val="9"/>
        <rFont val="맑은 고딕"/>
        <family val="3"/>
        <charset val="129"/>
      </rPr>
      <t xml:space="preserve">C7 </t>
    </r>
    <r>
      <rPr>
        <sz val="9"/>
        <rFont val="Noto Sans CJK SC"/>
        <family val="2"/>
      </rPr>
      <t>유창성</t>
    </r>
    <r>
      <rPr>
        <sz val="9"/>
        <rFont val="맑은 고딕"/>
        <family val="3"/>
        <charset val="129"/>
      </rPr>
      <t xml:space="preserve">(Fluency), C3 </t>
    </r>
    <r>
      <rPr>
        <sz val="9"/>
        <rFont val="Noto Sans CJK SC"/>
        <family val="2"/>
      </rPr>
      <t>충실성</t>
    </r>
    <r>
      <rPr>
        <sz val="9"/>
        <rFont val="맑은 고딕"/>
        <family val="3"/>
        <charset val="129"/>
      </rPr>
      <t xml:space="preserve">(Faithfulness), C5 </t>
    </r>
    <r>
      <rPr>
        <sz val="9"/>
        <rFont val="Noto Sans CJK SC"/>
        <family val="2"/>
      </rPr>
      <t>정보성</t>
    </r>
    <r>
      <rPr>
        <sz val="9"/>
        <rFont val="맑은 고딕"/>
        <family val="3"/>
        <charset val="129"/>
      </rPr>
      <t>(Informativeness)</t>
    </r>
  </si>
  <si>
    <r>
      <rPr>
        <sz val="9"/>
        <rFont val="Noto Sans CJK SC"/>
        <family val="2"/>
      </rPr>
      <t xml:space="preserve">초록 및 요약 수준 — </t>
    </r>
    <r>
      <rPr>
        <sz val="9"/>
        <rFont val="맑은 고딕"/>
        <family val="3"/>
        <charset val="129"/>
      </rPr>
      <t xml:space="preserve">NLG </t>
    </r>
    <r>
      <rPr>
        <sz val="9"/>
        <rFont val="Noto Sans CJK SC"/>
        <family val="2"/>
      </rPr>
      <t xml:space="preserve">논문 </t>
    </r>
    <r>
      <rPr>
        <sz val="9"/>
        <rFont val="맑은 고딕"/>
        <family val="3"/>
        <charset val="129"/>
      </rPr>
      <t>165</t>
    </r>
    <r>
      <rPr>
        <sz val="9"/>
        <rFont val="Noto Sans CJK SC"/>
        <family val="2"/>
      </rPr>
      <t xml:space="preserve">편 분석 결과 품질 측면을 지칭하는 용어가 </t>
    </r>
    <r>
      <rPr>
        <sz val="9"/>
        <rFont val="맑은 고딕"/>
        <family val="3"/>
        <charset val="129"/>
      </rPr>
      <t>200</t>
    </r>
    <r>
      <rPr>
        <sz val="9"/>
        <rFont val="Noto Sans CJK SC"/>
        <family val="2"/>
      </rPr>
      <t>개 넘게 난립하며</t>
    </r>
    <r>
      <rPr>
        <sz val="9"/>
        <rFont val="맑은 고딕"/>
        <family val="3"/>
        <charset val="129"/>
      </rPr>
      <t xml:space="preserve">, </t>
    </r>
    <r>
      <rPr>
        <sz val="9"/>
        <rFont val="Noto Sans CJK SC"/>
        <family val="2"/>
      </rPr>
      <t>유창성</t>
    </r>
    <r>
      <rPr>
        <sz val="9"/>
        <rFont val="맑은 고딕"/>
        <family val="3"/>
        <charset val="129"/>
      </rPr>
      <t>·</t>
    </r>
    <r>
      <rPr>
        <sz val="9"/>
        <rFont val="Noto Sans CJK SC"/>
        <family val="2"/>
      </rPr>
      <t>일관성</t>
    </r>
    <r>
      <rPr>
        <sz val="9"/>
        <rFont val="맑은 고딕"/>
        <family val="3"/>
        <charset val="129"/>
      </rPr>
      <t>·</t>
    </r>
    <r>
      <rPr>
        <sz val="9"/>
        <rFont val="Noto Sans CJK SC"/>
        <family val="2"/>
      </rPr>
      <t>커버리지</t>
    </r>
    <r>
      <rPr>
        <sz val="9"/>
        <rFont val="맑은 고딕"/>
        <family val="3"/>
        <charset val="129"/>
      </rPr>
      <t>·</t>
    </r>
    <r>
      <rPr>
        <sz val="9"/>
        <rFont val="Noto Sans CJK SC"/>
        <family val="2"/>
      </rPr>
      <t>적합성 등을 함께 평가해야 하는 다면적 과제라는 결론</t>
    </r>
  </si>
  <si>
    <r>
      <rPr>
        <b/>
        <sz val="12"/>
        <color rgb="FFFFFFFF"/>
        <rFont val="맑은 고딕"/>
        <family val="3"/>
        <charset val="129"/>
      </rPr>
      <t xml:space="preserve">4. ⚠ </t>
    </r>
    <r>
      <rPr>
        <b/>
        <sz val="12"/>
        <color rgb="FFFFFFFF"/>
        <rFont val="Noto Sans CJK SC"/>
        <family val="2"/>
      </rPr>
      <t>반드시 함께 읽어야 할 한계</t>
    </r>
  </si>
  <si>
    <r>
      <rPr>
        <i/>
        <sz val="10"/>
        <color rgb="FF555555"/>
        <rFont val="Noto Sans CJK SC"/>
        <family val="2"/>
      </rPr>
      <t>이 분석을 인용하거나 외부에 공유하실 때 아래 네 가지를 함께 전달해 주십시오</t>
    </r>
    <r>
      <rPr>
        <i/>
        <sz val="10"/>
        <color rgb="FF555555"/>
        <rFont val="맑은 고딕"/>
        <family val="3"/>
        <charset val="129"/>
      </rPr>
      <t>.</t>
    </r>
  </si>
  <si>
    <t>내용</t>
  </si>
  <si>
    <t>실무상 의미</t>
  </si>
  <si>
    <t>문헌 확인 범위</t>
  </si>
  <si>
    <r>
      <rPr>
        <sz val="9"/>
        <rFont val="Noto Sans CJK SC"/>
        <family val="2"/>
      </rPr>
      <t>외부 보고에 인용하실 경우 원문 재확인을 권장합니다</t>
    </r>
    <r>
      <rPr>
        <sz val="9"/>
        <rFont val="맑은 고딕"/>
        <family val="3"/>
        <charset val="129"/>
      </rPr>
      <t>.</t>
    </r>
  </si>
  <si>
    <t>측정 방법은 자체 설계</t>
  </si>
  <si>
    <r>
      <rPr>
        <sz val="9"/>
        <rFont val="Noto Sans CJK SC"/>
        <family val="2"/>
      </rPr>
      <t xml:space="preserve">문헌은 </t>
    </r>
    <r>
      <rPr>
        <sz val="9"/>
        <rFont val="맑은 고딕"/>
        <family val="3"/>
        <charset val="129"/>
      </rPr>
      <t>"</t>
    </r>
    <r>
      <rPr>
        <sz val="9"/>
        <rFont val="Noto Sans CJK SC"/>
        <family val="2"/>
      </rPr>
      <t>무엇을 봐야 하는가</t>
    </r>
    <r>
      <rPr>
        <sz val="9"/>
        <rFont val="맑은 고딕"/>
        <family val="3"/>
        <charset val="129"/>
      </rPr>
      <t>"</t>
    </r>
    <r>
      <rPr>
        <sz val="9"/>
        <rFont val="Noto Sans CJK SC"/>
        <family val="2"/>
      </rPr>
      <t>까지만 제공했습니다</t>
    </r>
    <r>
      <rPr>
        <sz val="9"/>
        <rFont val="맑은 고딕"/>
        <family val="3"/>
        <charset val="129"/>
      </rPr>
      <t>. "</t>
    </r>
    <r>
      <rPr>
        <sz val="9"/>
        <rFont val="Noto Sans CJK SC"/>
        <family val="2"/>
      </rPr>
      <t xml:space="preserve">근거 충실성 </t>
    </r>
    <r>
      <rPr>
        <sz val="9"/>
        <rFont val="맑은 고딕"/>
        <family val="3"/>
        <charset val="129"/>
      </rPr>
      <t xml:space="preserve">= </t>
    </r>
    <r>
      <rPr>
        <sz val="9"/>
        <rFont val="Noto Sans CJK SC"/>
        <family val="2"/>
      </rPr>
      <t xml:space="preserve">문자 </t>
    </r>
    <r>
      <rPr>
        <sz val="9"/>
        <rFont val="맑은 고딕"/>
        <family val="3"/>
        <charset val="129"/>
      </rPr>
      <t xml:space="preserve">4-gram </t>
    </r>
    <r>
      <rPr>
        <sz val="9"/>
        <rFont val="Noto Sans CJK SC"/>
        <family val="2"/>
      </rPr>
      <t>중복률</t>
    </r>
    <r>
      <rPr>
        <sz val="9"/>
        <rFont val="맑은 고딕"/>
        <family val="3"/>
        <charset val="129"/>
      </rPr>
      <t>", "</t>
    </r>
    <r>
      <rPr>
        <sz val="9"/>
        <rFont val="Noto Sans CJK SC"/>
        <family val="2"/>
      </rPr>
      <t xml:space="preserve">항목 적합성 </t>
    </r>
    <r>
      <rPr>
        <sz val="9"/>
        <rFont val="맑은 고딕"/>
        <family val="3"/>
        <charset val="129"/>
      </rPr>
      <t xml:space="preserve">= Field </t>
    </r>
    <r>
      <rPr>
        <sz val="9"/>
        <rFont val="Noto Sans CJK SC"/>
        <family val="2"/>
      </rPr>
      <t>키워드 출현율</t>
    </r>
    <r>
      <rPr>
        <sz val="9"/>
        <rFont val="맑은 고딕"/>
        <family val="3"/>
        <charset val="129"/>
      </rPr>
      <t xml:space="preserve">" </t>
    </r>
    <r>
      <rPr>
        <sz val="9"/>
        <rFont val="Noto Sans CJK SC"/>
        <family val="2"/>
      </rPr>
      <t>같은 조작적 정의는 이 두 엑셀 파일의 구조에 맞춰 본 분석에서 설계한 것으로</t>
    </r>
    <r>
      <rPr>
        <sz val="9"/>
        <rFont val="맑은 고딕"/>
        <family val="3"/>
        <charset val="129"/>
      </rPr>
      <t xml:space="preserve">, </t>
    </r>
    <r>
      <rPr>
        <sz val="9"/>
        <rFont val="Noto Sans CJK SC"/>
        <family val="2"/>
      </rPr>
      <t>문헌에서 가져온 표준 지표가 아닙니다</t>
    </r>
    <r>
      <rPr>
        <sz val="9"/>
        <rFont val="맑은 고딕"/>
        <family val="3"/>
        <charset val="129"/>
      </rPr>
      <t>.</t>
    </r>
  </si>
  <si>
    <r>
      <rPr>
        <sz val="9"/>
        <rFont val="Noto Sans CJK SC"/>
        <family val="2"/>
      </rPr>
      <t>지표 정의 자체가 검토</t>
    </r>
    <r>
      <rPr>
        <sz val="9"/>
        <rFont val="맑은 고딕"/>
        <family val="3"/>
        <charset val="129"/>
      </rPr>
      <t>·</t>
    </r>
    <r>
      <rPr>
        <sz val="9"/>
        <rFont val="Noto Sans CJK SC"/>
        <family val="2"/>
      </rPr>
      <t>수정 대상입니다</t>
    </r>
    <r>
      <rPr>
        <sz val="9"/>
        <rFont val="맑은 고딕"/>
        <family val="3"/>
        <charset val="129"/>
      </rPr>
      <t>.</t>
    </r>
  </si>
  <si>
    <t>한국어 검증 부재</t>
  </si>
  <si>
    <r>
      <rPr>
        <sz val="9"/>
        <rFont val="Noto Sans CJK SC"/>
        <family val="2"/>
      </rPr>
      <t>버스티니스</t>
    </r>
    <r>
      <rPr>
        <sz val="9"/>
        <rFont val="맑은 고딕"/>
        <family val="3"/>
        <charset val="129"/>
      </rPr>
      <t xml:space="preserve">·MATTR </t>
    </r>
    <r>
      <rPr>
        <sz val="9"/>
        <rFont val="Noto Sans CJK SC"/>
        <family val="2"/>
      </rPr>
      <t>관련 연구는 대부분 영어 기준입니다</t>
    </r>
    <r>
      <rPr>
        <sz val="9"/>
        <rFont val="맑은 고딕"/>
        <family val="3"/>
        <charset val="129"/>
      </rPr>
      <t xml:space="preserve">. </t>
    </r>
    <r>
      <rPr>
        <sz val="9"/>
        <rFont val="Noto Sans CJK SC"/>
        <family val="2"/>
      </rPr>
      <t>어절 단위로 계산한 한국어 지표가 동일한 해석력을 갖는지는 검증되지 않았습니다</t>
    </r>
    <r>
      <rPr>
        <sz val="9"/>
        <rFont val="맑은 고딕"/>
        <family val="3"/>
        <charset val="129"/>
      </rPr>
      <t>.</t>
    </r>
  </si>
  <si>
    <r>
      <rPr>
        <sz val="9"/>
        <rFont val="맑은 고딕"/>
        <family val="3"/>
        <charset val="129"/>
      </rPr>
      <t>V2·V3</t>
    </r>
    <r>
      <rPr>
        <sz val="9"/>
        <rFont val="Noto Sans CJK SC"/>
        <family val="2"/>
      </rPr>
      <t>를 동일한 방식으로 측정했으므로 상대 비교는 유효합니다</t>
    </r>
    <r>
      <rPr>
        <sz val="9"/>
        <rFont val="맑은 고딕"/>
        <family val="3"/>
        <charset val="129"/>
      </rPr>
      <t xml:space="preserve">. </t>
    </r>
    <r>
      <rPr>
        <sz val="9"/>
        <rFont val="Noto Sans CJK SC"/>
        <family val="2"/>
      </rPr>
      <t>다만 절대 수치</t>
    </r>
    <r>
      <rPr>
        <sz val="9"/>
        <rFont val="맑은 고딕"/>
        <family val="3"/>
        <charset val="129"/>
      </rPr>
      <t>(</t>
    </r>
    <r>
      <rPr>
        <sz val="9"/>
        <rFont val="Noto Sans CJK SC"/>
        <family val="2"/>
      </rPr>
      <t>예</t>
    </r>
    <r>
      <rPr>
        <sz val="9"/>
        <rFont val="맑은 고딕"/>
        <family val="3"/>
        <charset val="129"/>
      </rPr>
      <t>: MATTR 0.94)</t>
    </r>
    <r>
      <rPr>
        <sz val="9"/>
        <rFont val="Noto Sans CJK SC"/>
        <family val="2"/>
      </rPr>
      <t>를 다른 문서</t>
    </r>
    <r>
      <rPr>
        <sz val="9"/>
        <rFont val="맑은 고딕"/>
        <family val="3"/>
        <charset val="129"/>
      </rPr>
      <t>·</t>
    </r>
    <r>
      <rPr>
        <sz val="9"/>
        <rFont val="Noto Sans CJK SC"/>
        <family val="2"/>
      </rPr>
      <t>다른 언어와 비교하는 데는 사용하지 마십시오</t>
    </r>
    <r>
      <rPr>
        <sz val="9"/>
        <rFont val="맑은 고딕"/>
        <family val="3"/>
        <charset val="129"/>
      </rPr>
      <t>.</t>
    </r>
  </si>
  <si>
    <t>가중치는 판단값</t>
  </si>
  <si>
    <r>
      <rPr>
        <sz val="9"/>
        <rFont val="맑은 고딕"/>
        <family val="3"/>
        <charset val="129"/>
      </rPr>
      <t>01_</t>
    </r>
    <r>
      <rPr>
        <sz val="9"/>
        <rFont val="Noto Sans CJK SC"/>
        <family val="2"/>
      </rPr>
      <t>평가기준 시트의 가중치</t>
    </r>
    <r>
      <rPr>
        <sz val="9"/>
        <rFont val="맑은 고딕"/>
        <family val="3"/>
        <charset val="129"/>
      </rPr>
      <t>A·B(</t>
    </r>
    <r>
      <rPr>
        <sz val="9"/>
        <rFont val="Noto Sans CJK SC"/>
        <family val="2"/>
      </rPr>
      <t>노란색 셀</t>
    </r>
    <r>
      <rPr>
        <sz val="9"/>
        <rFont val="맑은 고딕"/>
        <family val="3"/>
        <charset val="129"/>
      </rPr>
      <t>)</t>
    </r>
    <r>
      <rPr>
        <sz val="9"/>
        <rFont val="Noto Sans CJK SC"/>
        <family val="2"/>
      </rPr>
      <t>는 데이터에서 도출된 값이 아니라</t>
    </r>
    <r>
      <rPr>
        <sz val="9"/>
        <rFont val="맑은 고딕"/>
        <family val="3"/>
        <charset val="129"/>
      </rPr>
      <t xml:space="preserve">, </t>
    </r>
    <r>
      <rPr>
        <sz val="9"/>
        <rFont val="Noto Sans CJK SC"/>
        <family val="2"/>
      </rPr>
      <t>두 가지 관점을 대표하도록 임의 배분한 판단값입니다</t>
    </r>
    <r>
      <rPr>
        <sz val="9"/>
        <rFont val="맑은 고딕"/>
        <family val="3"/>
        <charset val="129"/>
      </rPr>
      <t>.</t>
    </r>
  </si>
  <si>
    <r>
      <rPr>
        <sz val="9"/>
        <rFont val="Noto Sans CJK SC"/>
        <family val="2"/>
      </rPr>
      <t>조직의 우선순위에 맞게 수정하십시오</t>
    </r>
    <r>
      <rPr>
        <sz val="9"/>
        <rFont val="맑은 고딕"/>
        <family val="3"/>
        <charset val="129"/>
      </rPr>
      <t xml:space="preserve">. </t>
    </r>
    <r>
      <rPr>
        <sz val="9"/>
        <rFont val="Noto Sans CJK SC"/>
        <family val="2"/>
      </rPr>
      <t xml:space="preserve">값을 바꾸면 </t>
    </r>
    <r>
      <rPr>
        <sz val="9"/>
        <rFont val="맑은 고딕"/>
        <family val="3"/>
        <charset val="129"/>
      </rPr>
      <t>02_</t>
    </r>
    <r>
      <rPr>
        <sz val="9"/>
        <rFont val="Noto Sans CJK SC"/>
        <family val="2"/>
      </rPr>
      <t xml:space="preserve">종합비교와 </t>
    </r>
    <r>
      <rPr>
        <sz val="9"/>
        <rFont val="맑은 고딕"/>
        <family val="3"/>
        <charset val="129"/>
      </rPr>
      <t>00_</t>
    </r>
    <r>
      <rPr>
        <sz val="9"/>
        <rFont val="Noto Sans CJK SC"/>
        <family val="2"/>
      </rPr>
      <t>결론요약의 총점이 자동 재계산됩니다</t>
    </r>
    <r>
      <rPr>
        <sz val="9"/>
        <rFont val="맑은 고딕"/>
        <family val="3"/>
        <charset val="129"/>
      </rPr>
      <t>.</t>
    </r>
  </si>
  <si>
    <r>
      <rPr>
        <b/>
        <sz val="12"/>
        <color rgb="FFFFFFFF"/>
        <rFont val="맑은 고딕"/>
        <family val="3"/>
        <charset val="129"/>
      </rPr>
      <t xml:space="preserve">5. </t>
    </r>
    <r>
      <rPr>
        <b/>
        <sz val="12"/>
        <color rgb="FFFFFFFF"/>
        <rFont val="Noto Sans CJK SC"/>
        <family val="2"/>
      </rPr>
      <t>이 파일을 다시 쓰는 방법</t>
    </r>
  </si>
  <si>
    <t>하고 싶은 일</t>
  </si>
  <si>
    <t>방법</t>
  </si>
  <si>
    <t>가중치를 우리 기준으로 바꾸고 싶다</t>
  </si>
  <si>
    <r>
      <rPr>
        <sz val="9"/>
        <rFont val="맑은 고딕"/>
        <family val="3"/>
        <charset val="129"/>
      </rPr>
      <t>01_</t>
    </r>
    <r>
      <rPr>
        <sz val="9"/>
        <rFont val="Noto Sans CJK SC"/>
        <family val="2"/>
      </rPr>
      <t xml:space="preserve">평가기준 시트 </t>
    </r>
    <r>
      <rPr>
        <sz val="9"/>
        <rFont val="맑은 고딕"/>
        <family val="3"/>
        <charset val="129"/>
      </rPr>
      <t>E10:F19(</t>
    </r>
    <r>
      <rPr>
        <sz val="9"/>
        <rFont val="Noto Sans CJK SC"/>
        <family val="2"/>
      </rPr>
      <t>노란색</t>
    </r>
    <r>
      <rPr>
        <sz val="9"/>
        <rFont val="맑은 고딕"/>
        <family val="3"/>
        <charset val="129"/>
      </rPr>
      <t>·</t>
    </r>
    <r>
      <rPr>
        <sz val="9"/>
        <rFont val="Noto Sans CJK SC"/>
        <family val="2"/>
      </rPr>
      <t>파란 글씨</t>
    </r>
    <r>
      <rPr>
        <sz val="9"/>
        <rFont val="맑은 고딕"/>
        <family val="3"/>
        <charset val="129"/>
      </rPr>
      <t>)</t>
    </r>
    <r>
      <rPr>
        <sz val="9"/>
        <rFont val="Noto Sans CJK SC"/>
        <family val="2"/>
      </rPr>
      <t>을 수정하십시오</t>
    </r>
    <r>
      <rPr>
        <sz val="9"/>
        <rFont val="맑은 고딕"/>
        <family val="3"/>
        <charset val="129"/>
      </rPr>
      <t xml:space="preserve">. </t>
    </r>
    <r>
      <rPr>
        <sz val="9"/>
        <rFont val="Noto Sans CJK SC"/>
        <family val="2"/>
      </rPr>
      <t xml:space="preserve">각 열의 합이 </t>
    </r>
    <r>
      <rPr>
        <sz val="9"/>
        <rFont val="맑은 고딕"/>
        <family val="3"/>
        <charset val="129"/>
      </rPr>
      <t>100</t>
    </r>
    <r>
      <rPr>
        <sz val="9"/>
        <rFont val="Noto Sans CJK SC"/>
        <family val="2"/>
      </rPr>
      <t xml:space="preserve">이 되도록 맞추면 </t>
    </r>
    <r>
      <rPr>
        <sz val="9"/>
        <rFont val="맑은 고딕"/>
        <family val="3"/>
        <charset val="129"/>
      </rPr>
      <t>02_</t>
    </r>
    <r>
      <rPr>
        <sz val="9"/>
        <rFont val="Noto Sans CJK SC"/>
        <family val="2"/>
      </rPr>
      <t xml:space="preserve">종합비교의 가중 합계와 </t>
    </r>
    <r>
      <rPr>
        <sz val="9"/>
        <rFont val="맑은 고딕"/>
        <family val="3"/>
        <charset val="129"/>
      </rPr>
      <t>00_</t>
    </r>
    <r>
      <rPr>
        <sz val="9"/>
        <rFont val="Noto Sans CJK SC"/>
        <family val="2"/>
      </rPr>
      <t>결론요약의 총점이 함께 갱신됩니다</t>
    </r>
    <r>
      <rPr>
        <sz val="9"/>
        <rFont val="맑은 고딕"/>
        <family val="3"/>
        <charset val="129"/>
      </rPr>
      <t xml:space="preserve">. </t>
    </r>
    <r>
      <rPr>
        <sz val="9"/>
        <rFont val="Noto Sans CJK SC"/>
        <family val="2"/>
      </rPr>
      <t>재무모델 관례에 따라 노란 채움</t>
    </r>
    <r>
      <rPr>
        <sz val="9"/>
        <rFont val="맑은 고딕"/>
        <family val="3"/>
        <charset val="129"/>
      </rPr>
      <t>+</t>
    </r>
    <r>
      <rPr>
        <sz val="9"/>
        <rFont val="Noto Sans CJK SC"/>
        <family val="2"/>
      </rPr>
      <t xml:space="preserve">파란 글씨는 </t>
    </r>
    <r>
      <rPr>
        <sz val="9"/>
        <rFont val="맑은 고딕"/>
        <family val="3"/>
        <charset val="129"/>
      </rPr>
      <t>"</t>
    </r>
    <r>
      <rPr>
        <sz val="9"/>
        <rFont val="Noto Sans CJK SC"/>
        <family val="2"/>
      </rPr>
      <t>입력 셀</t>
    </r>
    <r>
      <rPr>
        <sz val="9"/>
        <rFont val="맑은 고딕"/>
        <family val="3"/>
        <charset val="129"/>
      </rPr>
      <t>"</t>
    </r>
    <r>
      <rPr>
        <sz val="9"/>
        <rFont val="Noto Sans CJK SC"/>
        <family val="2"/>
      </rPr>
      <t>을 뜻합니다</t>
    </r>
    <r>
      <rPr>
        <sz val="9"/>
        <rFont val="맑은 고딕"/>
        <family val="3"/>
        <charset val="129"/>
      </rPr>
      <t>.</t>
    </r>
  </si>
  <si>
    <r>
      <rPr>
        <b/>
        <sz val="9"/>
        <rFont val="Noto Sans CJK SC"/>
        <family val="2"/>
      </rPr>
      <t>항목 점수</t>
    </r>
    <r>
      <rPr>
        <b/>
        <sz val="9"/>
        <rFont val="맑은 고딕"/>
        <family val="3"/>
        <charset val="129"/>
      </rPr>
      <t>(5</t>
    </r>
    <r>
      <rPr>
        <b/>
        <sz val="9"/>
        <rFont val="Noto Sans CJK SC"/>
        <family val="2"/>
      </rPr>
      <t>점 척도</t>
    </r>
    <r>
      <rPr>
        <b/>
        <sz val="9"/>
        <rFont val="맑은 고딕"/>
        <family val="3"/>
        <charset val="129"/>
      </rPr>
      <t>)</t>
    </r>
    <r>
      <rPr>
        <b/>
        <sz val="9"/>
        <rFont val="Noto Sans CJK SC"/>
        <family val="2"/>
      </rPr>
      <t>에 동의하지 않는다</t>
    </r>
  </si>
  <si>
    <r>
      <rPr>
        <sz val="9"/>
        <rFont val="맑은 고딕"/>
        <family val="3"/>
        <charset val="129"/>
      </rPr>
      <t>02_</t>
    </r>
    <r>
      <rPr>
        <sz val="9"/>
        <rFont val="Noto Sans CJK SC"/>
        <family val="2"/>
      </rPr>
      <t xml:space="preserve">종합비교 시트 </t>
    </r>
    <r>
      <rPr>
        <sz val="9"/>
        <rFont val="맑은 고딕"/>
        <family val="3"/>
        <charset val="129"/>
      </rPr>
      <t>B5:C14</t>
    </r>
    <r>
      <rPr>
        <sz val="9"/>
        <rFont val="Noto Sans CJK SC"/>
        <family val="2"/>
      </rPr>
      <t>를 직접 수정하십시오</t>
    </r>
    <r>
      <rPr>
        <sz val="9"/>
        <rFont val="맑은 고딕"/>
        <family val="3"/>
        <charset val="129"/>
      </rPr>
      <t xml:space="preserve">. </t>
    </r>
    <r>
      <rPr>
        <sz val="9"/>
        <rFont val="Noto Sans CJK SC"/>
        <family val="2"/>
      </rPr>
      <t xml:space="preserve">같은 행 </t>
    </r>
    <r>
      <rPr>
        <sz val="9"/>
        <rFont val="맑은 고딕"/>
        <family val="3"/>
        <charset val="129"/>
      </rPr>
      <t>E</t>
    </r>
    <r>
      <rPr>
        <sz val="9"/>
        <rFont val="Noto Sans CJK SC"/>
        <family val="2"/>
      </rPr>
      <t>열에 판정 근거가 된 실측 수치가</t>
    </r>
    <r>
      <rPr>
        <sz val="9"/>
        <rFont val="맑은 고딕"/>
        <family val="3"/>
        <charset val="129"/>
      </rPr>
      <t>, F</t>
    </r>
    <r>
      <rPr>
        <sz val="9"/>
        <rFont val="Noto Sans CJK SC"/>
        <family val="2"/>
      </rPr>
      <t>열에 판정 사유가 병기되어 있으니 먼저 확인하시기 바랍니다</t>
    </r>
    <r>
      <rPr>
        <sz val="9"/>
        <rFont val="맑은 고딕"/>
        <family val="3"/>
        <charset val="129"/>
      </rPr>
      <t>.</t>
    </r>
  </si>
  <si>
    <r>
      <rPr>
        <b/>
        <sz val="9"/>
        <rFont val="Noto Sans CJK SC"/>
        <family val="2"/>
      </rPr>
      <t>다른 회차 산출물</t>
    </r>
    <r>
      <rPr>
        <b/>
        <sz val="9"/>
        <rFont val="맑은 고딕"/>
        <family val="3"/>
        <charset val="129"/>
      </rPr>
      <t xml:space="preserve">(V4 </t>
    </r>
    <r>
      <rPr>
        <b/>
        <sz val="9"/>
        <rFont val="Noto Sans CJK SC"/>
        <family val="2"/>
      </rPr>
      <t>등</t>
    </r>
    <r>
      <rPr>
        <b/>
        <sz val="9"/>
        <rFont val="맑은 고딕"/>
        <family val="3"/>
        <charset val="129"/>
      </rPr>
      <t>)</t>
    </r>
    <r>
      <rPr>
        <b/>
        <sz val="9"/>
        <rFont val="Noto Sans CJK SC"/>
        <family val="2"/>
      </rPr>
      <t>에 같은 평가를 적용하고 싶다</t>
    </r>
  </si>
  <si>
    <r>
      <rPr>
        <sz val="9"/>
        <rFont val="맑은 고딕"/>
        <family val="3"/>
        <charset val="129"/>
      </rPr>
      <t>04_</t>
    </r>
    <r>
      <rPr>
        <sz val="9"/>
        <rFont val="Noto Sans CJK SC"/>
        <family val="2"/>
      </rPr>
      <t>항목별비교 시트의 지표 정의</t>
    </r>
    <r>
      <rPr>
        <sz val="9"/>
        <rFont val="맑은 고딕"/>
        <family val="3"/>
        <charset val="129"/>
      </rPr>
      <t>(</t>
    </r>
    <r>
      <rPr>
        <sz val="9"/>
        <rFont val="Noto Sans CJK SC"/>
        <family val="2"/>
      </rPr>
      <t>글자수</t>
    </r>
    <r>
      <rPr>
        <sz val="9"/>
        <rFont val="맑은 고딕"/>
        <family val="3"/>
        <charset val="129"/>
      </rPr>
      <t>·</t>
    </r>
    <r>
      <rPr>
        <sz val="9"/>
        <rFont val="Noto Sans CJK SC"/>
        <family val="2"/>
      </rPr>
      <t>문장수</t>
    </r>
    <r>
      <rPr>
        <sz val="9"/>
        <rFont val="맑은 고딕"/>
        <family val="3"/>
        <charset val="129"/>
      </rPr>
      <t>·CV·MATTR·</t>
    </r>
    <r>
      <rPr>
        <sz val="9"/>
        <rFont val="Noto Sans CJK SC"/>
        <family val="2"/>
      </rPr>
      <t>근거일치율</t>
    </r>
    <r>
      <rPr>
        <sz val="9"/>
        <rFont val="맑은 고딕"/>
        <family val="3"/>
        <charset val="129"/>
      </rPr>
      <t>·</t>
    </r>
    <r>
      <rPr>
        <sz val="9"/>
        <rFont val="Noto Sans CJK SC"/>
        <family val="2"/>
      </rPr>
      <t>항목적합도</t>
    </r>
    <r>
      <rPr>
        <sz val="9"/>
        <rFont val="맑은 고딕"/>
        <family val="3"/>
        <charset val="129"/>
      </rPr>
      <t>·</t>
    </r>
    <r>
      <rPr>
        <sz val="9"/>
        <rFont val="Noto Sans CJK SC"/>
        <family val="2"/>
      </rPr>
      <t>상투어밀도</t>
    </r>
    <r>
      <rPr>
        <sz val="9"/>
        <rFont val="맑은 고딕"/>
        <family val="3"/>
        <charset val="129"/>
      </rPr>
      <t>·</t>
    </r>
    <r>
      <rPr>
        <sz val="9"/>
        <rFont val="Noto Sans CJK SC"/>
        <family val="2"/>
      </rPr>
      <t>헤지구</t>
    </r>
    <r>
      <rPr>
        <sz val="9"/>
        <rFont val="맑은 고딕"/>
        <family val="3"/>
        <charset val="129"/>
      </rPr>
      <t>)</t>
    </r>
    <r>
      <rPr>
        <sz val="9"/>
        <rFont val="Noto Sans CJK SC"/>
        <family val="2"/>
      </rPr>
      <t>를 동일하게 계산하면 됩니다</t>
    </r>
    <r>
      <rPr>
        <sz val="9"/>
        <rFont val="맑은 고딕"/>
        <family val="3"/>
        <charset val="129"/>
      </rPr>
      <t xml:space="preserve">. </t>
    </r>
    <r>
      <rPr>
        <sz val="9"/>
        <rFont val="Noto Sans CJK SC"/>
        <family val="2"/>
      </rPr>
      <t xml:space="preserve">다만 근거일치율과 항목적합도는 </t>
    </r>
    <r>
      <rPr>
        <sz val="9"/>
        <rFont val="맑은 고딕"/>
        <family val="3"/>
        <charset val="129"/>
      </rPr>
      <t xml:space="preserve">Original Evidence </t>
    </r>
    <r>
      <rPr>
        <sz val="9"/>
        <rFont val="Noto Sans CJK SC"/>
        <family val="2"/>
      </rPr>
      <t xml:space="preserve">열과 </t>
    </r>
    <r>
      <rPr>
        <sz val="9"/>
        <rFont val="맑은 고딕"/>
        <family val="3"/>
        <charset val="129"/>
      </rPr>
      <t xml:space="preserve">Field </t>
    </r>
    <r>
      <rPr>
        <sz val="9"/>
        <rFont val="Noto Sans CJK SC"/>
        <family val="2"/>
      </rPr>
      <t>열이 있어야 산출 가능합니다</t>
    </r>
    <r>
      <rPr>
        <sz val="9"/>
        <rFont val="맑은 고딕"/>
        <family val="3"/>
        <charset val="129"/>
      </rPr>
      <t>.</t>
    </r>
  </si>
  <si>
    <t>특정 항목의 판정을 직접 검증하고 싶다</t>
  </si>
  <si>
    <r>
      <rPr>
        <sz val="9"/>
        <rFont val="맑은 고딕"/>
        <family val="3"/>
        <charset val="129"/>
      </rPr>
      <t>04_</t>
    </r>
    <r>
      <rPr>
        <sz val="9"/>
        <rFont val="Noto Sans CJK SC"/>
        <family val="2"/>
      </rPr>
      <t>항목별비교 시트에서 해당 지표</t>
    </r>
    <r>
      <rPr>
        <sz val="9"/>
        <rFont val="맑은 고딕"/>
        <family val="3"/>
        <charset val="129"/>
      </rPr>
      <t>ID</t>
    </r>
    <r>
      <rPr>
        <sz val="9"/>
        <rFont val="Noto Sans CJK SC"/>
        <family val="2"/>
      </rPr>
      <t xml:space="preserve">를 찾아 </t>
    </r>
    <r>
      <rPr>
        <sz val="9"/>
        <rFont val="맑은 고딕"/>
        <family val="3"/>
        <charset val="129"/>
      </rPr>
      <t>D</t>
    </r>
    <r>
      <rPr>
        <sz val="9"/>
        <rFont val="Noto Sans CJK SC"/>
        <family val="2"/>
      </rPr>
      <t>열</t>
    </r>
    <r>
      <rPr>
        <sz val="9"/>
        <rFont val="맑은 고딕"/>
        <family val="3"/>
        <charset val="129"/>
      </rPr>
      <t xml:space="preserve">(V2 </t>
    </r>
    <r>
      <rPr>
        <sz val="9"/>
        <rFont val="Noto Sans CJK SC"/>
        <family val="2"/>
      </rPr>
      <t>본문</t>
    </r>
    <r>
      <rPr>
        <sz val="9"/>
        <rFont val="맑은 고딕"/>
        <family val="3"/>
        <charset val="129"/>
      </rPr>
      <t>)</t>
    </r>
    <r>
      <rPr>
        <sz val="9"/>
        <rFont val="Noto Sans CJK SC"/>
        <family val="2"/>
      </rPr>
      <t xml:space="preserve">과 </t>
    </r>
    <r>
      <rPr>
        <sz val="9"/>
        <rFont val="맑은 고딕"/>
        <family val="3"/>
        <charset val="129"/>
      </rPr>
      <t>E</t>
    </r>
    <r>
      <rPr>
        <sz val="9"/>
        <rFont val="Noto Sans CJK SC"/>
        <family val="2"/>
      </rPr>
      <t>열</t>
    </r>
    <r>
      <rPr>
        <sz val="9"/>
        <rFont val="맑은 고딕"/>
        <family val="3"/>
        <charset val="129"/>
      </rPr>
      <t xml:space="preserve">(V3 </t>
    </r>
    <r>
      <rPr>
        <sz val="9"/>
        <rFont val="Noto Sans CJK SC"/>
        <family val="2"/>
      </rPr>
      <t>본문</t>
    </r>
    <r>
      <rPr>
        <sz val="9"/>
        <rFont val="맑은 고딕"/>
        <family val="3"/>
        <charset val="129"/>
      </rPr>
      <t>)</t>
    </r>
    <r>
      <rPr>
        <sz val="9"/>
        <rFont val="Noto Sans CJK SC"/>
        <family val="2"/>
      </rPr>
      <t>을 원문 그대로 대조하십시오</t>
    </r>
    <r>
      <rPr>
        <sz val="9"/>
        <rFont val="맑은 고딕"/>
        <family val="3"/>
        <charset val="129"/>
      </rPr>
      <t xml:space="preserve">. </t>
    </r>
    <r>
      <rPr>
        <sz val="9"/>
        <rFont val="Noto Sans CJK SC"/>
        <family val="2"/>
      </rPr>
      <t xml:space="preserve">대표 사례 </t>
    </r>
    <r>
      <rPr>
        <sz val="9"/>
        <rFont val="맑은 고딕"/>
        <family val="3"/>
        <charset val="129"/>
      </rPr>
      <t>6</t>
    </r>
    <r>
      <rPr>
        <sz val="9"/>
        <rFont val="Noto Sans CJK SC"/>
        <family val="2"/>
      </rPr>
      <t xml:space="preserve">건은 </t>
    </r>
    <r>
      <rPr>
        <sz val="9"/>
        <rFont val="맑은 고딕"/>
        <family val="3"/>
        <charset val="129"/>
      </rPr>
      <t>05_</t>
    </r>
    <r>
      <rPr>
        <sz val="9"/>
        <rFont val="Noto Sans CJK SC"/>
        <family val="2"/>
      </rPr>
      <t>대표사례 시트에 읽는 법과 함께 정리되어 있습니다</t>
    </r>
    <r>
      <rPr>
        <sz val="9"/>
        <rFont val="맑은 고딕"/>
        <family val="3"/>
        <charset val="129"/>
      </rPr>
      <t>.</t>
    </r>
  </si>
  <si>
    <t>길이 효과가 의심된다</t>
  </si>
  <si>
    <r>
      <rPr>
        <sz val="9"/>
        <rFont val="맑은 고딕"/>
        <family val="3"/>
        <charset val="129"/>
      </rPr>
      <t>03_</t>
    </r>
    <r>
      <rPr>
        <sz val="9"/>
        <rFont val="Noto Sans CJK SC"/>
        <family val="2"/>
      </rPr>
      <t xml:space="preserve">지표실측 시트에서 </t>
    </r>
    <r>
      <rPr>
        <sz val="9"/>
        <rFont val="맑은 고딕"/>
        <family val="3"/>
        <charset val="129"/>
      </rPr>
      <t>"(</t>
    </r>
    <r>
      <rPr>
        <sz val="9"/>
        <rFont val="Noto Sans CJK SC"/>
        <family val="2"/>
      </rPr>
      <t>전체</t>
    </r>
    <r>
      <rPr>
        <sz val="9"/>
        <rFont val="맑은 고딕"/>
        <family val="3"/>
        <charset val="129"/>
      </rPr>
      <t>)"</t>
    </r>
    <r>
      <rPr>
        <sz val="9"/>
        <rFont val="Noto Sans CJK SC"/>
        <family val="2"/>
      </rPr>
      <t xml:space="preserve">와 </t>
    </r>
    <r>
      <rPr>
        <sz val="9"/>
        <rFont val="맑은 고딕"/>
        <family val="3"/>
        <charset val="129"/>
      </rPr>
      <t>"3</t>
    </r>
    <r>
      <rPr>
        <sz val="9"/>
        <rFont val="Noto Sans CJK SC"/>
        <family val="2"/>
      </rPr>
      <t xml:space="preserve">문장 이상 </t>
    </r>
    <r>
      <rPr>
        <sz val="9"/>
        <rFont val="맑은 고딕"/>
        <family val="3"/>
        <charset val="129"/>
      </rPr>
      <t>28</t>
    </r>
    <r>
      <rPr>
        <sz val="9"/>
        <rFont val="Noto Sans CJK SC"/>
        <family val="2"/>
      </rPr>
      <t>건만</t>
    </r>
    <r>
      <rPr>
        <sz val="9"/>
        <rFont val="맑은 고딕"/>
        <family val="3"/>
        <charset val="129"/>
      </rPr>
      <t>" / "</t>
    </r>
    <r>
      <rPr>
        <sz val="9"/>
        <rFont val="Noto Sans CJK SC"/>
        <family val="2"/>
      </rPr>
      <t>길이 통제</t>
    </r>
    <r>
      <rPr>
        <sz val="9"/>
        <rFont val="맑은 고딕"/>
        <family val="3"/>
        <charset val="129"/>
      </rPr>
      <t xml:space="preserve">" </t>
    </r>
    <r>
      <rPr>
        <sz val="9"/>
        <rFont val="Noto Sans CJK SC"/>
        <family val="2"/>
      </rPr>
      <t>행을 함께 보십시오</t>
    </r>
    <r>
      <rPr>
        <sz val="9"/>
        <rFont val="맑은 고딕"/>
        <family val="3"/>
        <charset val="129"/>
      </rPr>
      <t xml:space="preserve">. </t>
    </r>
    <r>
      <rPr>
        <sz val="9"/>
        <rFont val="Noto Sans CJK SC"/>
        <family val="2"/>
      </rPr>
      <t>두 값이 갈리는 지표는 길이 교란이 있는 것이므로 통제 후 값을 신뢰하십시오</t>
    </r>
    <r>
      <rPr>
        <sz val="9"/>
        <rFont val="맑은 고딕"/>
        <family val="3"/>
        <charset val="129"/>
      </rPr>
      <t>.</t>
    </r>
  </si>
  <si>
    <r>
      <rPr>
        <sz val="9"/>
        <rFont val="맑은 고딕"/>
        <family val="3"/>
        <charset val="129"/>
      </rPr>
      <t>위</t>
    </r>
    <r>
      <rPr>
        <sz val="9"/>
        <rFont val="Arial"/>
        <family val="2"/>
      </rPr>
      <t xml:space="preserve"> </t>
    </r>
    <r>
      <rPr>
        <sz val="9"/>
        <rFont val="맑은 고딕"/>
        <family val="3"/>
        <charset val="129"/>
      </rPr>
      <t>자료들은</t>
    </r>
    <r>
      <rPr>
        <sz val="9"/>
        <rFont val="Arial"/>
        <family val="2"/>
      </rPr>
      <t xml:space="preserve"> </t>
    </r>
    <r>
      <rPr>
        <sz val="9"/>
        <rFont val="맑은 고딕"/>
        <family val="3"/>
        <charset val="129"/>
      </rPr>
      <t>검색</t>
    </r>
    <r>
      <rPr>
        <sz val="9"/>
        <rFont val="Arial"/>
        <family val="2"/>
      </rPr>
      <t xml:space="preserve"> </t>
    </r>
    <r>
      <rPr>
        <sz val="9"/>
        <rFont val="맑은 고딕"/>
        <family val="3"/>
        <charset val="129"/>
      </rPr>
      <t>결과</t>
    </r>
    <r>
      <rPr>
        <sz val="9"/>
        <rFont val="Arial"/>
        <family val="2"/>
      </rPr>
      <t xml:space="preserve"> </t>
    </r>
    <r>
      <rPr>
        <sz val="9"/>
        <rFont val="맑은 고딕"/>
        <family val="3"/>
        <charset val="129"/>
      </rPr>
      <t>스니펫과</t>
    </r>
    <r>
      <rPr>
        <sz val="9"/>
        <rFont val="Arial"/>
        <family val="2"/>
      </rPr>
      <t xml:space="preserve"> </t>
    </r>
    <r>
      <rPr>
        <sz val="9"/>
        <rFont val="맑은 고딕"/>
        <family val="3"/>
        <charset val="129"/>
      </rPr>
      <t>초록</t>
    </r>
    <r>
      <rPr>
        <sz val="9"/>
        <rFont val="Arial"/>
        <family val="2"/>
      </rPr>
      <t xml:space="preserve"> </t>
    </r>
    <r>
      <rPr>
        <sz val="9"/>
        <rFont val="맑은 고딕"/>
        <family val="3"/>
        <charset val="129"/>
      </rPr>
      <t>수준에서</t>
    </r>
    <r>
      <rPr>
        <sz val="9"/>
        <rFont val="Arial"/>
        <family val="2"/>
      </rPr>
      <t xml:space="preserve"> </t>
    </r>
    <r>
      <rPr>
        <sz val="9"/>
        <rFont val="맑은 고딕"/>
        <family val="3"/>
        <charset val="129"/>
      </rPr>
      <t>확인했으며, 논문</t>
    </r>
    <r>
      <rPr>
        <sz val="9"/>
        <rFont val="Arial"/>
        <family val="2"/>
      </rPr>
      <t xml:space="preserve"> </t>
    </r>
    <r>
      <rPr>
        <sz val="9"/>
        <rFont val="맑은 고딕"/>
        <family val="3"/>
        <charset val="129"/>
      </rPr>
      <t>전문을</t>
    </r>
    <r>
      <rPr>
        <sz val="9"/>
        <rFont val="Arial"/>
        <family val="2"/>
      </rPr>
      <t xml:space="preserve"> </t>
    </r>
    <r>
      <rPr>
        <sz val="9"/>
        <rFont val="맑은 고딕"/>
        <family val="3"/>
        <charset val="129"/>
      </rPr>
      <t>통독하지</t>
    </r>
    <r>
      <rPr>
        <sz val="9"/>
        <rFont val="Arial"/>
        <family val="2"/>
      </rPr>
      <t xml:space="preserve"> </t>
    </r>
    <r>
      <rPr>
        <sz val="9"/>
        <rFont val="맑은 고딕"/>
        <family val="3"/>
        <charset val="129"/>
      </rPr>
      <t>않았습니다. GRI 원칙</t>
    </r>
    <r>
      <rPr>
        <sz val="9"/>
        <rFont val="Arial"/>
        <family val="2"/>
      </rPr>
      <t xml:space="preserve"> </t>
    </r>
    <r>
      <rPr>
        <sz val="9"/>
        <rFont val="맑은 고딕"/>
        <family val="3"/>
        <charset val="129"/>
      </rPr>
      <t>목록처럼</t>
    </r>
    <r>
      <rPr>
        <sz val="9"/>
        <rFont val="Arial"/>
        <family val="2"/>
      </rPr>
      <t xml:space="preserve"> </t>
    </r>
    <r>
      <rPr>
        <sz val="9"/>
        <rFont val="맑은 고딕"/>
        <family val="3"/>
        <charset val="129"/>
      </rPr>
      <t>확정적인</t>
    </r>
    <r>
      <rPr>
        <sz val="9"/>
        <rFont val="Arial"/>
        <family val="2"/>
      </rPr>
      <t xml:space="preserve"> </t>
    </r>
    <r>
      <rPr>
        <sz val="9"/>
        <rFont val="맑은 고딕"/>
        <family val="3"/>
        <charset val="129"/>
      </rPr>
      <t>사실은</t>
    </r>
    <r>
      <rPr>
        <sz val="9"/>
        <rFont val="Arial"/>
        <family val="2"/>
      </rPr>
      <t xml:space="preserve"> </t>
    </r>
    <r>
      <rPr>
        <sz val="9"/>
        <rFont val="맑은 고딕"/>
        <family val="3"/>
        <charset val="129"/>
      </rPr>
      <t>신뢰할</t>
    </r>
    <r>
      <rPr>
        <sz val="9"/>
        <rFont val="Arial"/>
        <family val="2"/>
      </rPr>
      <t xml:space="preserve"> </t>
    </r>
    <r>
      <rPr>
        <sz val="9"/>
        <rFont val="맑은 고딕"/>
        <family val="3"/>
        <charset val="129"/>
      </rPr>
      <t>수</t>
    </r>
    <r>
      <rPr>
        <sz val="9"/>
        <rFont val="Arial"/>
        <family val="2"/>
      </rPr>
      <t xml:space="preserve"> </t>
    </r>
    <r>
      <rPr>
        <sz val="9"/>
        <rFont val="맑은 고딕"/>
        <family val="3"/>
        <charset val="129"/>
      </rPr>
      <t>있으나, 세부</t>
    </r>
    <r>
      <rPr>
        <sz val="9"/>
        <rFont val="Arial"/>
        <family val="2"/>
      </rPr>
      <t xml:space="preserve"> </t>
    </r>
    <r>
      <rPr>
        <sz val="9"/>
        <rFont val="맑은 고딕"/>
        <family val="3"/>
        <charset val="129"/>
      </rPr>
      <t>방법론까지</t>
    </r>
    <r>
      <rPr>
        <sz val="9"/>
        <rFont val="Arial"/>
        <family val="2"/>
      </rPr>
      <t xml:space="preserve"> </t>
    </r>
    <r>
      <rPr>
        <sz val="9"/>
        <rFont val="맑은 고딕"/>
        <family val="3"/>
        <charset val="129"/>
      </rPr>
      <t>이</t>
    </r>
    <r>
      <rPr>
        <sz val="9"/>
        <rFont val="Arial"/>
        <family val="2"/>
      </rPr>
      <t xml:space="preserve"> </t>
    </r>
    <r>
      <rPr>
        <sz val="9"/>
        <rFont val="맑은 고딕"/>
        <family val="3"/>
        <charset val="129"/>
      </rPr>
      <t>자료들에</t>
    </r>
    <r>
      <rPr>
        <sz val="9"/>
        <rFont val="Arial"/>
        <family val="2"/>
      </rPr>
      <t xml:space="preserve"> </t>
    </r>
    <r>
      <rPr>
        <sz val="9"/>
        <rFont val="맑은 고딕"/>
        <family val="3"/>
        <charset val="129"/>
      </rPr>
      <t>근거한다고</t>
    </r>
    <r>
      <rPr>
        <sz val="9"/>
        <rFont val="Arial"/>
        <family val="2"/>
      </rPr>
      <t xml:space="preserve"> </t>
    </r>
    <r>
      <rPr>
        <sz val="9"/>
        <rFont val="맑은 고딕"/>
        <family val="3"/>
        <charset val="129"/>
      </rPr>
      <t>보기는</t>
    </r>
    <r>
      <rPr>
        <sz val="9"/>
        <rFont val="Arial"/>
        <family val="2"/>
      </rPr>
      <t xml:space="preserve"> </t>
    </r>
    <r>
      <rPr>
        <sz val="9"/>
        <rFont val="맑은 고딕"/>
        <family val="3"/>
        <charset val="129"/>
      </rPr>
      <t>어렵습니다.</t>
    </r>
    <phoneticPr fontId="30" type="noConversion"/>
  </si>
  <si>
    <t>Twenty Years of Confusion in Human Evaluation: NLG Needs Evaluation Sheets and Standardised Definitions (Howcroft et al.)</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</si>
</sst>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
  </numFmts>
  <fonts count="33">
    <font>
      <sz val="11"/>
      <color theme="1"/>
      <name val="Calibri"/>
      <family val="2"/>
      <charset val="1"/>
    </font>
    <font>
      <b/>
      <sz val="17"/>
      <color rgb="FF1F3864"/>
      <name val="맑은 고딕"/>
      <family val="3"/>
      <charset val="129"/>
    </font>
    <font>
      <b/>
      <sz val="17"/>
      <color rgb="FF1F3864"/>
      <name val="Noto Sans CJK SC"/>
      <family val="2"/>
    </font>
    <font>
      <sz val="10"/>
      <name val="맑은 고딕"/>
      <family val="3"/>
      <charset val="129"/>
    </font>
    <font>
      <i/>
      <sz val="10"/>
      <color rgb="FF555555"/>
      <name val="Noto Sans CJK SC"/>
      <family val="2"/>
      <charset val="1"/>
    </font>
    <font>
      <b/>
      <sz val="12"/>
      <color rgb="FF1F3864"/>
      <name val="Noto Sans CJK SC"/>
      <family val="2"/>
      <charset val="1"/>
    </font>
    <font>
      <sz val="10"/>
      <name val="Noto Sans CJK SC"/>
      <family val="2"/>
      <charset val="1"/>
    </font>
    <font>
      <b/>
      <sz val="12"/>
      <color rgb="FF1F3864"/>
      <name val="맑은 고딕"/>
      <family val="3"/>
      <charset val="129"/>
    </font>
    <font>
      <b/>
      <sz val="12"/>
      <color rgb="FF1F3864"/>
      <name val="Noto Sans CJK SC"/>
      <family val="2"/>
    </font>
    <font>
      <sz val="10"/>
      <name val="Noto Sans CJK SC"/>
      <family val="2"/>
    </font>
    <font>
      <b/>
      <sz val="10"/>
      <name val="Noto Sans CJK SC"/>
      <family val="2"/>
      <charset val="1"/>
    </font>
    <font>
      <b/>
      <sz val="10"/>
      <name val="맑은 고딕"/>
      <family val="3"/>
      <charset val="129"/>
    </font>
    <font>
      <b/>
      <sz val="15"/>
      <color rgb="FF1F3864"/>
      <name val="Noto Sans CJK SC"/>
      <family val="2"/>
      <charset val="1"/>
    </font>
    <font>
      <i/>
      <sz val="10"/>
      <color rgb="FF555555"/>
      <name val="맑은 고딕"/>
      <family val="3"/>
      <charset val="129"/>
    </font>
    <font>
      <i/>
      <sz val="10"/>
      <color rgb="FF555555"/>
      <name val="Noto Sans CJK SC"/>
      <family val="2"/>
    </font>
    <font>
      <b/>
      <sz val="10"/>
      <color rgb="FFFFFFFF"/>
      <name val="Noto Sans CJK SC"/>
      <family val="2"/>
      <charset val="1"/>
    </font>
    <font>
      <sz val="10"/>
      <color rgb="FF0000FF"/>
      <name val="맑은 고딕"/>
      <family val="3"/>
      <charset val="129"/>
    </font>
    <font>
      <b/>
      <sz val="11"/>
      <color rgb="FF1F3864"/>
      <name val="Noto Sans CJK SC"/>
      <family val="2"/>
      <charset val="1"/>
    </font>
    <font>
      <sz val="9"/>
      <color rgb="FF555555"/>
      <name val="맑은 고딕"/>
      <family val="3"/>
      <charset val="129"/>
    </font>
    <font>
      <sz val="9"/>
      <color rgb="FF555555"/>
      <name val="Noto Sans CJK SC"/>
      <family val="2"/>
    </font>
    <font>
      <b/>
      <sz val="10"/>
      <color rgb="FFFFFFFF"/>
      <name val="맑은 고딕"/>
      <family val="3"/>
      <charset val="129"/>
    </font>
    <font>
      <b/>
      <sz val="10"/>
      <color rgb="FFFFFFFF"/>
      <name val="Noto Sans CJK SC"/>
      <family val="2"/>
    </font>
    <font>
      <sz val="9"/>
      <name val="맑은 고딕"/>
      <family val="3"/>
      <charset val="129"/>
    </font>
    <font>
      <sz val="9"/>
      <name val="Noto Sans CJK SC"/>
      <family val="2"/>
      <charset val="1"/>
    </font>
    <font>
      <sz val="9"/>
      <name val="Noto Sans CJK SC"/>
      <family val="2"/>
    </font>
    <font>
      <b/>
      <sz val="12"/>
      <color rgb="FFFFFFFF"/>
      <name val="맑은 고딕"/>
      <family val="3"/>
      <charset val="129"/>
    </font>
    <font>
      <b/>
      <sz val="12"/>
      <color rgb="FFFFFFFF"/>
      <name val="Noto Sans CJK SC"/>
      <family val="2"/>
    </font>
    <font>
      <b/>
      <sz val="9"/>
      <name val="맑은 고딕"/>
      <family val="3"/>
      <charset val="129"/>
    </font>
    <font>
      <b/>
      <sz val="9"/>
      <name val="Noto Sans CJK SC"/>
      <family val="2"/>
    </font>
    <font>
      <b/>
      <sz val="10"/>
      <color rgb="FFC00000"/>
      <name val="Noto Sans CJK SC"/>
      <family val="2"/>
    </font>
    <font>
      <sz val="8"/>
      <name val="돋움"/>
      <family val="3"/>
      <charset val="129"/>
    </font>
    <font>
      <sz val="9"/>
      <name val="Arial"/>
      <family val="2"/>
    </font>
    <font>
      <sz val="9"/>
      <name val="Noto Sans CJK SC"/>
      <family val="3"/>
      <charset val="129"/>
    </font>
  </fonts>
  <fills count="9">
    <fill>
      <patternFill patternType="none"/>
    </fill>
    <fill>
      <patternFill patternType="gray125"/>
    </fill>
    <fill>
      <patternFill patternType="solid">
        <fgColor rgb="FFD9E2F3"/>
        <bgColor rgb="FFE2EFDA"/>
      </patternFill>
    </fill>
    <fill>
      <patternFill patternType="solid">
        <fgColor rgb="FFFFF2CC"/>
        <bgColor rgb="FFFCE4D6"/>
      </patternFill>
    </fill>
    <fill>
      <patternFill patternType="solid">
        <fgColor rgb="FFE2EFDA"/>
        <bgColor rgb="FFD9E2F3"/>
      </patternFill>
    </fill>
    <fill>
      <patternFill patternType="solid">
        <fgColor rgb="FF1F3864"/>
        <bgColor rgb="FF333333"/>
      </patternFill>
    </fill>
    <fill>
      <patternFill patternType="solid">
        <fgColor rgb="FFFFFF00"/>
        <bgColor rgb="FFFFFF00"/>
      </patternFill>
    </fill>
    <fill>
      <patternFill patternType="solid">
        <fgColor rgb="FF4472C4"/>
        <bgColor rgb="FF0066CC"/>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5">
    <xf numFmtId="0" fontId="0" fillId="0" borderId="0" xfId="0"/>
    <xf numFmtId="0" fontId="22" fillId="0" borderId="1" xfId="0" applyFont="1" applyBorder="1" applyAlignment="1">
      <alignment vertical="top" wrapText="1"/>
    </xf>
    <xf numFmtId="0" fontId="24" fillId="8" borderId="1" xfId="0" applyFont="1" applyFill="1" applyBorder="1" applyAlignment="1">
      <alignment vertical="top" wrapText="1"/>
    </xf>
    <xf numFmtId="0" fontId="29" fillId="8" borderId="1" xfId="0" applyFont="1" applyFill="1" applyBorder="1"/>
    <xf numFmtId="0" fontId="13" fillId="0" borderId="0" xfId="0" applyFont="1" applyAlignment="1">
      <alignment vertical="top" wrapText="1"/>
    </xf>
    <xf numFmtId="0" fontId="14" fillId="0" borderId="0" xfId="0" applyFont="1" applyAlignment="1">
      <alignment vertical="top" wrapText="1"/>
    </xf>
    <xf numFmtId="0" fontId="13" fillId="0" borderId="0" xfId="0" applyFont="1"/>
    <xf numFmtId="0" fontId="18" fillId="0" borderId="0" xfId="0" applyFont="1" applyAlignment="1">
      <alignment vertical="top" wrapText="1"/>
    </xf>
    <xf numFmtId="0" fontId="3" fillId="0" borderId="0" xfId="0" applyFont="1" applyAlignment="1">
      <alignment vertical="top" wrapText="1"/>
    </xf>
    <xf numFmtId="0" fontId="7" fillId="2" borderId="0" xfId="0" applyFont="1" applyFill="1"/>
    <xf numFmtId="0" fontId="6" fillId="0" borderId="0" xfId="0" applyFont="1" applyAlignment="1">
      <alignment vertical="top" wrapText="1"/>
    </xf>
    <xf numFmtId="0" fontId="5" fillId="2" borderId="0" xfId="0" applyFont="1" applyFill="1"/>
    <xf numFmtId="0" fontId="1" fillId="0" borderId="0" xfId="0" applyFont="1"/>
    <xf numFmtId="0" fontId="3" fillId="0" borderId="0" xfId="0" applyFont="1"/>
    <xf numFmtId="0" fontId="4" fillId="0" borderId="0" xfId="0" applyFont="1"/>
    <xf numFmtId="0" fontId="10" fillId="2" borderId="1" xfId="0" applyFont="1" applyFill="1" applyBorder="1" applyAlignment="1">
      <alignment horizontal="left"/>
    </xf>
    <xf numFmtId="176" fontId="11" fillId="2" borderId="1" xfId="0" applyNumberFormat="1" applyFont="1" applyFill="1" applyBorder="1" applyAlignment="1">
      <alignment horizontal="center"/>
    </xf>
    <xf numFmtId="0" fontId="10" fillId="2" borderId="1" xfId="0" applyFont="1" applyFill="1" applyBorder="1" applyAlignment="1">
      <alignment horizontal="center"/>
    </xf>
    <xf numFmtId="0" fontId="6" fillId="0" borderId="1" xfId="0" applyFont="1" applyBorder="1" applyAlignment="1">
      <alignment horizontal="left"/>
    </xf>
    <xf numFmtId="176" fontId="3" fillId="3" borderId="1" xfId="0" applyNumberFormat="1" applyFont="1" applyFill="1" applyBorder="1" applyAlignment="1">
      <alignment horizontal="center"/>
    </xf>
    <xf numFmtId="176" fontId="3" fillId="4" borderId="1" xfId="0" applyNumberFormat="1" applyFont="1" applyFill="1" applyBorder="1" applyAlignment="1">
      <alignment horizontal="center"/>
    </xf>
    <xf numFmtId="0" fontId="3" fillId="0" borderId="1" xfId="0" applyFont="1" applyBorder="1" applyAlignment="1">
      <alignment horizontal="center"/>
    </xf>
    <xf numFmtId="1" fontId="3" fillId="3" borderId="1" xfId="0" applyNumberFormat="1" applyFont="1" applyFill="1" applyBorder="1" applyAlignment="1">
      <alignment horizontal="center"/>
    </xf>
    <xf numFmtId="1" fontId="3" fillId="4" borderId="1" xfId="0" applyNumberFormat="1" applyFont="1" applyFill="1" applyBorder="1" applyAlignment="1">
      <alignment horizontal="center"/>
    </xf>
    <xf numFmtId="0" fontId="12" fillId="0" borderId="0" xfId="0" applyFont="1"/>
    <xf numFmtId="0" fontId="13" fillId="0" borderId="0" xfId="0" applyFont="1"/>
    <xf numFmtId="0" fontId="5" fillId="0" borderId="0" xfId="0" applyFont="1"/>
    <xf numFmtId="0" fontId="15" fillId="5" borderId="1" xfId="0" applyFont="1" applyFill="1" applyBorder="1" applyAlignment="1">
      <alignment horizontal="center" vertical="center" wrapText="1"/>
    </xf>
    <xf numFmtId="0" fontId="3" fillId="0" borderId="1" xfId="0" applyFont="1" applyBorder="1"/>
    <xf numFmtId="0" fontId="6" fillId="0" borderId="1" xfId="0" applyFont="1" applyBorder="1" applyAlignment="1">
      <alignment vertical="top" wrapText="1"/>
    </xf>
    <xf numFmtId="0" fontId="3" fillId="0" borderId="1" xfId="0" applyFont="1" applyBorder="1" applyAlignment="1">
      <alignment vertical="top" wrapText="1"/>
    </xf>
    <xf numFmtId="0" fontId="16" fillId="6" borderId="1" xfId="0" applyFont="1" applyFill="1" applyBorder="1" applyAlignment="1">
      <alignment horizontal="center"/>
    </xf>
    <xf numFmtId="0" fontId="10" fillId="2" borderId="0" xfId="0" applyFont="1" applyFill="1"/>
    <xf numFmtId="0" fontId="17" fillId="0" borderId="0" xfId="0" applyFont="1"/>
    <xf numFmtId="0" fontId="20" fillId="5"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center" vertical="top"/>
    </xf>
    <xf numFmtId="0" fontId="3" fillId="4" borderId="1" xfId="0" applyFont="1" applyFill="1" applyBorder="1" applyAlignment="1">
      <alignment horizontal="center" vertical="top"/>
    </xf>
    <xf numFmtId="0" fontId="3" fillId="0" borderId="1" xfId="0" applyFont="1" applyBorder="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center" vertical="top"/>
    </xf>
    <xf numFmtId="0" fontId="10" fillId="2" borderId="1" xfId="0" applyFont="1" applyFill="1" applyBorder="1"/>
    <xf numFmtId="1" fontId="11" fillId="2" borderId="1" xfId="0" applyNumberFormat="1" applyFont="1" applyFill="1" applyBorder="1" applyAlignment="1">
      <alignment horizontal="center"/>
    </xf>
    <xf numFmtId="177" fontId="3" fillId="3" borderId="1" xfId="0" applyNumberFormat="1" applyFont="1" applyFill="1" applyBorder="1" applyAlignment="1">
      <alignment horizontal="center" vertical="top"/>
    </xf>
    <xf numFmtId="177" fontId="3" fillId="4" borderId="1" xfId="0" applyNumberFormat="1" applyFont="1" applyFill="1" applyBorder="1" applyAlignment="1">
      <alignment horizontal="center" vertical="top"/>
    </xf>
    <xf numFmtId="0" fontId="22" fillId="0" borderId="1" xfId="0" applyFont="1" applyBorder="1" applyAlignment="1">
      <alignment horizontal="left" vertical="top"/>
    </xf>
    <xf numFmtId="0" fontId="23" fillId="0" borderId="1" xfId="0" applyFont="1" applyBorder="1" applyAlignment="1">
      <alignment horizontal="left" vertical="top" wrapText="1"/>
    </xf>
    <xf numFmtId="0" fontId="22" fillId="0" borderId="1" xfId="0" applyFont="1" applyBorder="1" applyAlignment="1">
      <alignment horizontal="left" vertical="top" wrapText="1"/>
    </xf>
    <xf numFmtId="0" fontId="23" fillId="3"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2" fillId="0" borderId="1" xfId="0" applyFont="1" applyBorder="1" applyAlignment="1">
      <alignment horizontal="center" vertical="top"/>
    </xf>
    <xf numFmtId="0" fontId="22" fillId="4" borderId="1" xfId="0" applyFont="1" applyFill="1" applyBorder="1" applyAlignment="1">
      <alignment horizontal="left" vertical="top" wrapText="1"/>
    </xf>
    <xf numFmtId="0" fontId="22" fillId="3" borderId="1" xfId="0" applyFont="1" applyFill="1" applyBorder="1" applyAlignment="1">
      <alignment horizontal="left" vertical="top" wrapText="1"/>
    </xf>
    <xf numFmtId="0" fontId="22" fillId="0" borderId="1" xfId="0" applyFont="1" applyBorder="1" applyAlignment="1">
      <alignment vertical="top" wrapText="1"/>
    </xf>
    <xf numFmtId="0" fontId="23" fillId="3" borderId="1" xfId="0" applyFont="1" applyFill="1" applyBorder="1" applyAlignment="1">
      <alignment vertical="top" wrapText="1"/>
    </xf>
    <xf numFmtId="0" fontId="23" fillId="4" borderId="1" xfId="0" applyFont="1" applyFill="1" applyBorder="1" applyAlignment="1">
      <alignment vertical="top" wrapText="1"/>
    </xf>
    <xf numFmtId="0" fontId="23" fillId="0" borderId="1" xfId="0" applyFont="1" applyBorder="1" applyAlignment="1">
      <alignment vertical="top" wrapText="1"/>
    </xf>
    <xf numFmtId="0" fontId="22" fillId="4" borderId="1" xfId="0" applyFont="1" applyFill="1" applyBorder="1" applyAlignment="1">
      <alignment vertical="top" wrapText="1"/>
    </xf>
    <xf numFmtId="0" fontId="25" fillId="5" borderId="1" xfId="0" applyFont="1" applyFill="1" applyBorder="1"/>
    <xf numFmtId="0" fontId="0" fillId="5" borderId="1" xfId="0" applyFill="1" applyBorder="1"/>
    <xf numFmtId="0" fontId="21" fillId="7" borderId="1" xfId="0" applyFont="1" applyFill="1" applyBorder="1" applyAlignment="1">
      <alignment horizontal="center" vertical="center" wrapText="1"/>
    </xf>
    <xf numFmtId="0" fontId="27" fillId="0" borderId="1" xfId="0" applyFont="1" applyBorder="1" applyAlignment="1">
      <alignment vertical="top" wrapText="1"/>
    </xf>
    <xf numFmtId="0" fontId="24" fillId="0" borderId="1" xfId="0" applyFont="1" applyBorder="1" applyAlignment="1">
      <alignment vertical="top" wrapText="1"/>
    </xf>
    <xf numFmtId="0" fontId="28" fillId="0" borderId="1" xfId="0" applyFont="1" applyBorder="1" applyAlignment="1">
      <alignment vertical="top" wrapText="1"/>
    </xf>
    <xf numFmtId="0" fontId="32" fillId="0" borderId="1" xfId="0" applyFont="1" applyBorder="1" applyAlignment="1">
      <alignment vertical="top" wrapText="1"/>
    </xf>
  </cellXfs>
  <cellStyles count="1">
    <cellStyle name="표준"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topLeftCell="A5" zoomScaleNormal="100" workbookViewId="0"/>
  </sheetViews>
  <sheetFormatPr defaultColWidth="8.6328125" defaultRowHeight="14.5"/>
  <cols>
    <col min="1" max="1" width="34" customWidth="1"/>
    <col min="2" max="3" width="14" customWidth="1"/>
    <col min="4" max="4" width="16" customWidth="1"/>
    <col min="5" max="6" width="14" customWidth="1"/>
  </cols>
  <sheetData>
    <row r="1" spans="1:6" ht="26.25" customHeight="1">
      <c r="A1" s="12" t="s">
        <v>0</v>
      </c>
      <c r="B1" s="13"/>
      <c r="C1" s="13"/>
      <c r="D1" s="13"/>
      <c r="E1" s="13"/>
      <c r="F1" s="13"/>
    </row>
    <row r="2" spans="1:6" ht="15" customHeight="1">
      <c r="A2" s="14" t="s">
        <v>1</v>
      </c>
      <c r="B2" s="13"/>
      <c r="C2" s="13"/>
      <c r="D2" s="13"/>
      <c r="E2" s="13"/>
      <c r="F2" s="13"/>
    </row>
    <row r="3" spans="1:6" ht="15" customHeight="1">
      <c r="A3" s="13"/>
      <c r="B3" s="13"/>
      <c r="C3" s="13"/>
      <c r="D3" s="13"/>
      <c r="E3" s="13"/>
      <c r="F3" s="13"/>
    </row>
    <row r="4" spans="1:6" ht="21.75" customHeight="1">
      <c r="A4" s="11" t="s">
        <v>2</v>
      </c>
      <c r="B4" s="11"/>
      <c r="C4" s="11"/>
      <c r="D4" s="11"/>
      <c r="E4" s="11"/>
      <c r="F4" s="11"/>
    </row>
    <row r="5" spans="1:6" ht="67.5" customHeight="1">
      <c r="A5" s="10" t="s">
        <v>3</v>
      </c>
      <c r="B5" s="10"/>
      <c r="C5" s="10"/>
      <c r="D5" s="10"/>
      <c r="E5" s="10"/>
      <c r="F5" s="10"/>
    </row>
    <row r="6" spans="1:6" ht="15" customHeight="1">
      <c r="A6" s="13"/>
      <c r="B6" s="13"/>
      <c r="C6" s="13"/>
      <c r="D6" s="13"/>
      <c r="E6" s="13"/>
      <c r="F6" s="13"/>
    </row>
    <row r="7" spans="1:6" ht="21.75" customHeight="1">
      <c r="A7" s="9" t="s">
        <v>4</v>
      </c>
      <c r="B7" s="9"/>
      <c r="C7" s="9"/>
      <c r="D7" s="9"/>
      <c r="E7" s="9"/>
      <c r="F7" s="9"/>
    </row>
    <row r="8" spans="1:6" ht="51" customHeight="1">
      <c r="A8" s="10" t="s">
        <v>5</v>
      </c>
      <c r="B8" s="10"/>
      <c r="C8" s="10"/>
      <c r="D8" s="10"/>
      <c r="E8" s="10"/>
      <c r="F8" s="10"/>
    </row>
    <row r="9" spans="1:6" ht="15" customHeight="1">
      <c r="A9" s="13"/>
      <c r="B9" s="13"/>
      <c r="C9" s="13"/>
      <c r="D9" s="13"/>
      <c r="E9" s="13"/>
      <c r="F9" s="13"/>
    </row>
    <row r="10" spans="1:6" ht="21.75" customHeight="1">
      <c r="A10" s="9" t="s">
        <v>6</v>
      </c>
      <c r="B10" s="9"/>
      <c r="C10" s="9"/>
      <c r="D10" s="9"/>
      <c r="E10" s="9"/>
      <c r="F10" s="9"/>
    </row>
    <row r="11" spans="1:6" ht="39.75" customHeight="1">
      <c r="A11" s="10" t="s">
        <v>7</v>
      </c>
      <c r="B11" s="10"/>
      <c r="C11" s="10"/>
      <c r="D11" s="10"/>
      <c r="E11" s="10"/>
      <c r="F11" s="10"/>
    </row>
    <row r="12" spans="1:6" ht="15" customHeight="1">
      <c r="A12" s="13"/>
      <c r="B12" s="13"/>
      <c r="C12" s="13"/>
      <c r="D12" s="13"/>
      <c r="E12" s="13"/>
      <c r="F12" s="13"/>
    </row>
    <row r="13" spans="1:6" ht="21.75" customHeight="1">
      <c r="A13" s="11" t="s">
        <v>8</v>
      </c>
      <c r="B13" s="11"/>
      <c r="C13" s="11"/>
      <c r="D13" s="11"/>
      <c r="E13" s="11"/>
      <c r="F13" s="11"/>
    </row>
    <row r="14" spans="1:6" ht="39.75" customHeight="1">
      <c r="A14" s="10" t="s">
        <v>9</v>
      </c>
      <c r="B14" s="10"/>
      <c r="C14" s="10"/>
      <c r="D14" s="10"/>
      <c r="E14" s="10"/>
      <c r="F14" s="10"/>
    </row>
    <row r="15" spans="1:6" ht="15" customHeight="1">
      <c r="A15" s="13"/>
      <c r="B15" s="13"/>
      <c r="C15" s="13"/>
      <c r="D15" s="13"/>
      <c r="E15" s="13"/>
      <c r="F15" s="13"/>
    </row>
    <row r="16" spans="1:6" ht="21.75" customHeight="1">
      <c r="A16" s="11" t="s">
        <v>10</v>
      </c>
      <c r="B16" s="11"/>
      <c r="C16" s="11"/>
      <c r="D16" s="11"/>
      <c r="E16" s="11"/>
      <c r="F16" s="11"/>
    </row>
    <row r="17" spans="1:6" ht="67.5" customHeight="1">
      <c r="A17" s="10" t="s">
        <v>11</v>
      </c>
      <c r="B17" s="10"/>
      <c r="C17" s="10"/>
      <c r="D17" s="10"/>
      <c r="E17" s="10"/>
      <c r="F17" s="10"/>
    </row>
    <row r="18" spans="1:6" ht="15" customHeight="1">
      <c r="A18" s="13"/>
      <c r="B18" s="13"/>
      <c r="C18" s="13"/>
      <c r="D18" s="13"/>
      <c r="E18" s="13"/>
      <c r="F18" s="13"/>
    </row>
    <row r="19" spans="1:6" ht="21.75" customHeight="1">
      <c r="A19" s="9" t="s">
        <v>12</v>
      </c>
      <c r="B19" s="9"/>
      <c r="C19" s="9"/>
      <c r="D19" s="9"/>
      <c r="E19" s="9"/>
      <c r="F19" s="9"/>
    </row>
    <row r="20" spans="1:6" ht="51" customHeight="1">
      <c r="A20" s="8" t="s">
        <v>13</v>
      </c>
      <c r="B20" s="8"/>
      <c r="C20" s="8"/>
      <c r="D20" s="8"/>
      <c r="E20" s="8"/>
      <c r="F20" s="8"/>
    </row>
    <row r="21" spans="1:6" ht="15" customHeight="1">
      <c r="A21" s="13"/>
      <c r="B21" s="13"/>
      <c r="C21" s="13"/>
      <c r="D21" s="13"/>
      <c r="E21" s="13"/>
      <c r="F21" s="13"/>
    </row>
    <row r="22" spans="1:6" ht="21.75" customHeight="1">
      <c r="A22" s="9" t="s">
        <v>14</v>
      </c>
      <c r="B22" s="9"/>
      <c r="C22" s="9"/>
      <c r="D22" s="9"/>
      <c r="E22" s="9"/>
      <c r="F22" s="9"/>
    </row>
    <row r="23" spans="1:6" ht="84.75" customHeight="1">
      <c r="A23" s="8" t="s">
        <v>15</v>
      </c>
      <c r="B23" s="8"/>
      <c r="C23" s="8"/>
      <c r="D23" s="8"/>
      <c r="E23" s="8"/>
      <c r="F23" s="8"/>
    </row>
    <row r="24" spans="1:6" ht="15" customHeight="1">
      <c r="A24" s="13"/>
      <c r="B24" s="13"/>
      <c r="C24" s="13"/>
      <c r="D24" s="13"/>
      <c r="E24" s="13"/>
      <c r="F24" s="13"/>
    </row>
    <row r="25" spans="1:6" ht="21.75" customHeight="1">
      <c r="A25" s="11" t="s">
        <v>16</v>
      </c>
      <c r="B25" s="11"/>
      <c r="C25" s="11"/>
      <c r="D25" s="11"/>
      <c r="E25" s="11"/>
      <c r="F25" s="11"/>
    </row>
    <row r="26" spans="1:6" ht="51" customHeight="1">
      <c r="A26" s="8" t="s">
        <v>17</v>
      </c>
      <c r="B26" s="8"/>
      <c r="C26" s="8"/>
      <c r="D26" s="8"/>
      <c r="E26" s="8"/>
      <c r="F26" s="8"/>
    </row>
    <row r="27" spans="1:6" ht="15" customHeight="1">
      <c r="A27" s="13"/>
      <c r="B27" s="13"/>
      <c r="C27" s="13"/>
      <c r="D27" s="13"/>
      <c r="E27" s="13"/>
      <c r="F27" s="13"/>
    </row>
    <row r="28" spans="1:6" ht="18.75" customHeight="1">
      <c r="A28" s="11" t="s">
        <v>18</v>
      </c>
      <c r="B28" s="11"/>
      <c r="C28" s="11"/>
      <c r="D28" s="11"/>
      <c r="E28" s="11"/>
      <c r="F28" s="11"/>
    </row>
    <row r="29" spans="1:6" ht="15" customHeight="1">
      <c r="A29" s="15" t="s">
        <v>19</v>
      </c>
      <c r="B29" s="16" t="s">
        <v>20</v>
      </c>
      <c r="C29" s="16" t="s">
        <v>21</v>
      </c>
      <c r="D29" s="17" t="s">
        <v>22</v>
      </c>
      <c r="E29" s="13"/>
      <c r="F29" s="13"/>
    </row>
    <row r="30" spans="1:6" ht="15" customHeight="1">
      <c r="A30" s="18" t="s">
        <v>23</v>
      </c>
      <c r="B30" s="19">
        <f>'02_종합비교'!B17</f>
        <v>80.8</v>
      </c>
      <c r="C30" s="20">
        <f>'02_종합비교'!C17</f>
        <v>70</v>
      </c>
      <c r="D30" s="21" t="str">
        <f>'02_종합비교'!D17</f>
        <v>V2 우세</v>
      </c>
      <c r="E30" s="13"/>
      <c r="F30" s="13"/>
    </row>
    <row r="31" spans="1:6" ht="15" customHeight="1">
      <c r="A31" s="18" t="s">
        <v>24</v>
      </c>
      <c r="B31" s="19">
        <f>'02_종합비교'!B18</f>
        <v>83.2</v>
      </c>
      <c r="C31" s="20">
        <f>'02_종합비교'!C18</f>
        <v>67</v>
      </c>
      <c r="D31" s="21" t="str">
        <f>'02_종합비교'!D18</f>
        <v>V2 우세</v>
      </c>
      <c r="E31" s="13"/>
      <c r="F31" s="13"/>
    </row>
    <row r="32" spans="1:6" ht="15" customHeight="1">
      <c r="A32" s="18" t="s">
        <v>25</v>
      </c>
      <c r="B32" s="22">
        <f>'02_종합비교'!B20</f>
        <v>5</v>
      </c>
      <c r="C32" s="23">
        <f>'02_종합비교'!C20</f>
        <v>2</v>
      </c>
      <c r="D32" s="21" t="str">
        <f>'02_종합비교'!D20</f>
        <v>3건 동률</v>
      </c>
      <c r="E32" s="13"/>
      <c r="F32" s="13"/>
    </row>
  </sheetData>
  <mergeCells count="17">
    <mergeCell ref="A26:F26"/>
    <mergeCell ref="A28:F28"/>
    <mergeCell ref="A19:F19"/>
    <mergeCell ref="A20:F20"/>
    <mergeCell ref="A22:F22"/>
    <mergeCell ref="A23:F23"/>
    <mergeCell ref="A25:F25"/>
    <mergeCell ref="A11:F11"/>
    <mergeCell ref="A13:F13"/>
    <mergeCell ref="A14:F14"/>
    <mergeCell ref="A16:F16"/>
    <mergeCell ref="A17:F17"/>
    <mergeCell ref="A4:F4"/>
    <mergeCell ref="A5:F5"/>
    <mergeCell ref="A7:F7"/>
    <mergeCell ref="A8:F8"/>
    <mergeCell ref="A10:F10"/>
  </mergeCells>
  <phoneticPr fontId="30"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A13" zoomScaleNormal="100" workbookViewId="0"/>
  </sheetViews>
  <sheetFormatPr defaultColWidth="8.6328125" defaultRowHeight="14.5"/>
  <cols>
    <col min="1" max="1" width="24" customWidth="1"/>
    <col min="2" max="2" width="34" customWidth="1"/>
    <col min="3" max="3" width="46" customWidth="1"/>
    <col min="4" max="4" width="34" customWidth="1"/>
    <col min="5" max="5" width="14" customWidth="1"/>
    <col min="6" max="6" width="16" customWidth="1"/>
  </cols>
  <sheetData>
    <row r="1" spans="1:6" ht="22.5" customHeight="1">
      <c r="A1" s="24" t="s">
        <v>26</v>
      </c>
      <c r="B1" s="13"/>
      <c r="C1" s="13"/>
      <c r="D1" s="13"/>
      <c r="E1" s="13"/>
      <c r="F1" s="13"/>
    </row>
    <row r="2" spans="1:6" ht="15" customHeight="1">
      <c r="A2" s="25" t="s">
        <v>27</v>
      </c>
      <c r="B2" s="13"/>
      <c r="C2" s="13"/>
      <c r="D2" s="13"/>
      <c r="E2" s="13"/>
      <c r="F2" s="13"/>
    </row>
    <row r="3" spans="1:6" ht="15" customHeight="1">
      <c r="A3" s="25" t="s">
        <v>28</v>
      </c>
      <c r="B3" s="13"/>
      <c r="C3" s="13"/>
      <c r="D3" s="13"/>
      <c r="E3" s="13"/>
      <c r="F3" s="13"/>
    </row>
    <row r="4" spans="1:6" ht="15" customHeight="1">
      <c r="A4" s="25" t="s">
        <v>29</v>
      </c>
      <c r="B4" s="13"/>
      <c r="C4" s="13"/>
      <c r="D4" s="13"/>
      <c r="E4" s="13"/>
      <c r="F4" s="13"/>
    </row>
    <row r="5" spans="1:6" ht="15" customHeight="1">
      <c r="A5" s="13"/>
      <c r="B5" s="13"/>
      <c r="C5" s="13"/>
      <c r="D5" s="13"/>
      <c r="E5" s="13"/>
      <c r="F5" s="13"/>
    </row>
    <row r="6" spans="1:6" ht="15" customHeight="1">
      <c r="A6" s="26" t="s">
        <v>30</v>
      </c>
      <c r="B6" s="13"/>
      <c r="C6" s="13"/>
      <c r="D6" s="13"/>
      <c r="E6" s="13"/>
      <c r="F6" s="13"/>
    </row>
    <row r="7" spans="1:6" ht="87.75" customHeight="1">
      <c r="A7" s="8" t="s">
        <v>31</v>
      </c>
      <c r="B7" s="8"/>
      <c r="C7" s="8"/>
      <c r="D7" s="8"/>
      <c r="E7" s="8"/>
      <c r="F7" s="8"/>
    </row>
    <row r="8" spans="1:6" ht="15" customHeight="1">
      <c r="A8" s="13"/>
      <c r="B8" s="13"/>
      <c r="C8" s="13"/>
      <c r="D8" s="13"/>
      <c r="E8" s="13"/>
      <c r="F8" s="13"/>
    </row>
    <row r="9" spans="1:6" ht="33.75" customHeight="1">
      <c r="A9" s="27" t="s">
        <v>32</v>
      </c>
      <c r="B9" s="27" t="s">
        <v>33</v>
      </c>
      <c r="C9" s="27" t="s">
        <v>34</v>
      </c>
      <c r="D9" s="27" t="s">
        <v>35</v>
      </c>
      <c r="E9" s="27" t="s">
        <v>36</v>
      </c>
      <c r="F9" s="27" t="s">
        <v>37</v>
      </c>
    </row>
    <row r="10" spans="1:6" ht="33.75" customHeight="1">
      <c r="A10" s="28" t="s">
        <v>38</v>
      </c>
      <c r="B10" s="29" t="s">
        <v>39</v>
      </c>
      <c r="C10" s="29" t="s">
        <v>40</v>
      </c>
      <c r="D10" s="30" t="s">
        <v>41</v>
      </c>
      <c r="E10" s="31">
        <v>12</v>
      </c>
      <c r="F10" s="31">
        <v>5</v>
      </c>
    </row>
    <row r="11" spans="1:6" ht="33.75" customHeight="1">
      <c r="A11" s="28" t="s">
        <v>42</v>
      </c>
      <c r="B11" s="30" t="s">
        <v>43</v>
      </c>
      <c r="C11" s="30" t="s">
        <v>44</v>
      </c>
      <c r="D11" s="30" t="s">
        <v>45</v>
      </c>
      <c r="E11" s="31">
        <v>12</v>
      </c>
      <c r="F11" s="31">
        <v>8</v>
      </c>
    </row>
    <row r="12" spans="1:6" ht="33.75" customHeight="1">
      <c r="A12" s="28" t="s">
        <v>46</v>
      </c>
      <c r="B12" s="29" t="s">
        <v>47</v>
      </c>
      <c r="C12" s="29" t="s">
        <v>48</v>
      </c>
      <c r="D12" s="30" t="s">
        <v>49</v>
      </c>
      <c r="E12" s="31">
        <v>18</v>
      </c>
      <c r="F12" s="31">
        <v>10</v>
      </c>
    </row>
    <row r="13" spans="1:6" ht="33.75" customHeight="1">
      <c r="A13" s="28" t="s">
        <v>50</v>
      </c>
      <c r="B13" s="29" t="s">
        <v>51</v>
      </c>
      <c r="C13" s="29" t="s">
        <v>52</v>
      </c>
      <c r="D13" s="30" t="s">
        <v>53</v>
      </c>
      <c r="E13" s="31">
        <v>10</v>
      </c>
      <c r="F13" s="31">
        <v>8</v>
      </c>
    </row>
    <row r="14" spans="1:6" ht="33.75" customHeight="1">
      <c r="A14" s="28" t="s">
        <v>54</v>
      </c>
      <c r="B14" s="29" t="s">
        <v>55</v>
      </c>
      <c r="C14" s="30" t="s">
        <v>56</v>
      </c>
      <c r="D14" s="30" t="s">
        <v>57</v>
      </c>
      <c r="E14" s="31">
        <v>10</v>
      </c>
      <c r="F14" s="31">
        <v>10</v>
      </c>
    </row>
    <row r="15" spans="1:6" ht="33.75" customHeight="1">
      <c r="A15" s="28" t="s">
        <v>58</v>
      </c>
      <c r="B15" s="29" t="s">
        <v>59</v>
      </c>
      <c r="C15" s="29" t="s">
        <v>60</v>
      </c>
      <c r="D15" s="30" t="s">
        <v>61</v>
      </c>
      <c r="E15" s="31">
        <v>10</v>
      </c>
      <c r="F15" s="31">
        <v>14</v>
      </c>
    </row>
    <row r="16" spans="1:6" ht="33.75" customHeight="1">
      <c r="A16" s="28" t="s">
        <v>62</v>
      </c>
      <c r="B16" s="29" t="s">
        <v>63</v>
      </c>
      <c r="C16" s="29" t="s">
        <v>64</v>
      </c>
      <c r="D16" s="30" t="s">
        <v>65</v>
      </c>
      <c r="E16" s="31">
        <v>12</v>
      </c>
      <c r="F16" s="31">
        <v>22</v>
      </c>
    </row>
    <row r="17" spans="1:6" ht="33.75" customHeight="1">
      <c r="A17" s="28" t="s">
        <v>66</v>
      </c>
      <c r="B17" s="29" t="s">
        <v>67</v>
      </c>
      <c r="C17" s="29" t="s">
        <v>68</v>
      </c>
      <c r="D17" s="30" t="s">
        <v>69</v>
      </c>
      <c r="E17" s="31">
        <v>5</v>
      </c>
      <c r="F17" s="31">
        <v>10</v>
      </c>
    </row>
    <row r="18" spans="1:6" ht="33.75" customHeight="1">
      <c r="A18" s="28" t="s">
        <v>70</v>
      </c>
      <c r="B18" s="30" t="s">
        <v>71</v>
      </c>
      <c r="C18" s="30" t="s">
        <v>72</v>
      </c>
      <c r="D18" s="30" t="s">
        <v>73</v>
      </c>
      <c r="E18" s="31">
        <v>6</v>
      </c>
      <c r="F18" s="31">
        <v>9</v>
      </c>
    </row>
    <row r="19" spans="1:6" ht="33.75" customHeight="1">
      <c r="A19" s="28" t="s">
        <v>74</v>
      </c>
      <c r="B19" s="29" t="s">
        <v>75</v>
      </c>
      <c r="C19" s="30" t="s">
        <v>76</v>
      </c>
      <c r="D19" s="30" t="s">
        <v>77</v>
      </c>
      <c r="E19" s="31">
        <v>5</v>
      </c>
      <c r="F19" s="31">
        <v>4</v>
      </c>
    </row>
    <row r="20" spans="1:6" ht="15" customHeight="1">
      <c r="A20" s="32" t="s">
        <v>78</v>
      </c>
      <c r="B20" s="32"/>
      <c r="C20" s="32"/>
      <c r="D20" s="32"/>
      <c r="E20" s="32">
        <f>SUM(E10:E19)</f>
        <v>100</v>
      </c>
      <c r="F20" s="32">
        <f>SUM(F10:F19)</f>
        <v>100</v>
      </c>
    </row>
    <row r="21" spans="1:6" ht="15" customHeight="1">
      <c r="A21" s="13"/>
      <c r="B21" s="13"/>
      <c r="C21" s="13"/>
      <c r="D21" s="13"/>
      <c r="E21" s="13"/>
      <c r="F21" s="13"/>
    </row>
    <row r="22" spans="1:6" ht="15" customHeight="1">
      <c r="A22" s="33" t="s">
        <v>79</v>
      </c>
      <c r="B22" s="13"/>
      <c r="C22" s="13"/>
      <c r="D22" s="13"/>
      <c r="E22" s="13"/>
      <c r="F22" s="13"/>
    </row>
    <row r="23" spans="1:6" ht="45.75" customHeight="1">
      <c r="A23" s="10" t="s">
        <v>80</v>
      </c>
      <c r="B23" s="10"/>
      <c r="C23" s="10"/>
      <c r="D23" s="10"/>
      <c r="E23" s="10"/>
      <c r="F23" s="10"/>
    </row>
    <row r="24" spans="1:6" ht="15" customHeight="1">
      <c r="A24" s="13"/>
      <c r="B24" s="13"/>
      <c r="C24" s="13"/>
      <c r="D24" s="13"/>
      <c r="E24" s="13"/>
      <c r="F24" s="13"/>
    </row>
    <row r="25" spans="1:6" ht="15" customHeight="1">
      <c r="A25" s="33" t="s">
        <v>81</v>
      </c>
      <c r="B25" s="13"/>
      <c r="C25" s="13"/>
      <c r="D25" s="13"/>
      <c r="E25" s="13"/>
      <c r="F25" s="13"/>
    </row>
    <row r="26" spans="1:6" ht="30" customHeight="1">
      <c r="A26" s="7" t="s">
        <v>82</v>
      </c>
      <c r="B26" s="7"/>
      <c r="C26" s="7"/>
      <c r="D26" s="7"/>
      <c r="E26" s="7"/>
      <c r="F26" s="7"/>
    </row>
    <row r="27" spans="1:6" ht="30" customHeight="1">
      <c r="A27" s="7" t="s">
        <v>83</v>
      </c>
      <c r="B27" s="7"/>
      <c r="C27" s="7"/>
      <c r="D27" s="7"/>
      <c r="E27" s="7"/>
      <c r="F27" s="7"/>
    </row>
    <row r="28" spans="1:6" ht="30" customHeight="1">
      <c r="A28" s="7" t="s">
        <v>84</v>
      </c>
      <c r="B28" s="7"/>
      <c r="C28" s="7"/>
      <c r="D28" s="7"/>
      <c r="E28" s="7"/>
      <c r="F28" s="7"/>
    </row>
    <row r="29" spans="1:6" ht="30" customHeight="1">
      <c r="A29" s="7" t="s">
        <v>85</v>
      </c>
      <c r="B29" s="7"/>
      <c r="C29" s="7"/>
      <c r="D29" s="7"/>
      <c r="E29" s="7"/>
      <c r="F29" s="7"/>
    </row>
  </sheetData>
  <mergeCells count="6">
    <mergeCell ref="A29:F29"/>
    <mergeCell ref="A7:F7"/>
    <mergeCell ref="A23:F23"/>
    <mergeCell ref="A26:F26"/>
    <mergeCell ref="A27:F27"/>
    <mergeCell ref="A28:F28"/>
  </mergeCells>
  <phoneticPr fontId="30"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tabSelected="1" topLeftCell="A7" zoomScaleNormal="100" workbookViewId="0"/>
  </sheetViews>
  <sheetFormatPr defaultColWidth="8.6328125" defaultRowHeight="14.5"/>
  <cols>
    <col min="1" max="1" width="32" customWidth="1"/>
    <col min="2" max="4" width="10" customWidth="1"/>
    <col min="5" max="5" width="42" customWidth="1"/>
    <col min="6" max="6" width="58" customWidth="1"/>
    <col min="7" max="7" width="10" customWidth="1"/>
  </cols>
  <sheetData>
    <row r="1" spans="1:7" ht="22.5" customHeight="1">
      <c r="A1" s="24" t="s">
        <v>86</v>
      </c>
      <c r="B1" s="13"/>
      <c r="C1" s="13"/>
      <c r="D1" s="13"/>
      <c r="E1" s="13"/>
      <c r="F1" s="13"/>
      <c r="G1" s="13"/>
    </row>
    <row r="2" spans="1:7" ht="15" customHeight="1">
      <c r="A2" s="14" t="s">
        <v>87</v>
      </c>
      <c r="B2" s="13"/>
      <c r="C2" s="13"/>
      <c r="D2" s="13"/>
      <c r="E2" s="13"/>
      <c r="F2" s="13"/>
      <c r="G2" s="13"/>
    </row>
    <row r="3" spans="1:7" ht="15" customHeight="1">
      <c r="A3" s="13"/>
      <c r="B3" s="13"/>
      <c r="C3" s="13"/>
      <c r="D3" s="13"/>
      <c r="E3" s="13"/>
      <c r="F3" s="13"/>
      <c r="G3" s="13"/>
    </row>
    <row r="4" spans="1:7" ht="33.75" customHeight="1">
      <c r="A4" s="27" t="s">
        <v>32</v>
      </c>
      <c r="B4" s="34" t="s">
        <v>88</v>
      </c>
      <c r="C4" s="34" t="s">
        <v>89</v>
      </c>
      <c r="D4" s="27" t="s">
        <v>22</v>
      </c>
      <c r="E4" s="27" t="s">
        <v>90</v>
      </c>
      <c r="F4" s="27" t="s">
        <v>91</v>
      </c>
      <c r="G4" s="27" t="s">
        <v>92</v>
      </c>
    </row>
    <row r="5" spans="1:7" ht="57.75" customHeight="1">
      <c r="A5" s="35" t="s">
        <v>38</v>
      </c>
      <c r="B5" s="36">
        <v>5</v>
      </c>
      <c r="C5" s="37">
        <v>3</v>
      </c>
      <c r="D5" s="38" t="str">
        <f t="shared" ref="D5:D14" si="0">IF(B5&gt;C5,"V2",IF(C5&gt;B5,"V3","동률"))</f>
        <v>V2</v>
      </c>
      <c r="E5" s="39" t="s">
        <v>93</v>
      </c>
      <c r="F5" s="35" t="s">
        <v>94</v>
      </c>
      <c r="G5" s="40" t="s">
        <v>95</v>
      </c>
    </row>
    <row r="6" spans="1:7" ht="57.75" customHeight="1">
      <c r="A6" s="35" t="s">
        <v>42</v>
      </c>
      <c r="B6" s="36">
        <v>5</v>
      </c>
      <c r="C6" s="37">
        <v>3</v>
      </c>
      <c r="D6" s="38" t="str">
        <f t="shared" si="0"/>
        <v>V2</v>
      </c>
      <c r="E6" s="39" t="s">
        <v>96</v>
      </c>
      <c r="F6" s="35" t="s">
        <v>97</v>
      </c>
      <c r="G6" s="40" t="s">
        <v>95</v>
      </c>
    </row>
    <row r="7" spans="1:7" ht="57.75" customHeight="1">
      <c r="A7" s="35" t="s">
        <v>46</v>
      </c>
      <c r="B7" s="36">
        <v>2</v>
      </c>
      <c r="C7" s="37">
        <v>5</v>
      </c>
      <c r="D7" s="38" t="str">
        <f t="shared" si="0"/>
        <v>V3</v>
      </c>
      <c r="E7" s="39" t="s">
        <v>98</v>
      </c>
      <c r="F7" s="35" t="s">
        <v>99</v>
      </c>
      <c r="G7" s="40" t="s">
        <v>95</v>
      </c>
    </row>
    <row r="8" spans="1:7" ht="57.75" customHeight="1">
      <c r="A8" s="35" t="s">
        <v>50</v>
      </c>
      <c r="B8" s="36">
        <v>4</v>
      </c>
      <c r="C8" s="37">
        <v>3</v>
      </c>
      <c r="D8" s="38" t="str">
        <f t="shared" si="0"/>
        <v>V2</v>
      </c>
      <c r="E8" s="39" t="s">
        <v>100</v>
      </c>
      <c r="F8" s="35" t="s">
        <v>101</v>
      </c>
      <c r="G8" s="40" t="s">
        <v>102</v>
      </c>
    </row>
    <row r="9" spans="1:7" ht="57.75" customHeight="1">
      <c r="A9" s="35" t="s">
        <v>54</v>
      </c>
      <c r="B9" s="36">
        <v>5</v>
      </c>
      <c r="C9" s="37">
        <v>3</v>
      </c>
      <c r="D9" s="38" t="str">
        <f t="shared" si="0"/>
        <v>V2</v>
      </c>
      <c r="E9" s="35" t="s">
        <v>103</v>
      </c>
      <c r="F9" s="39" t="s">
        <v>104</v>
      </c>
      <c r="G9" s="40" t="s">
        <v>95</v>
      </c>
    </row>
    <row r="10" spans="1:7" ht="57.75" customHeight="1">
      <c r="A10" s="35" t="s">
        <v>58</v>
      </c>
      <c r="B10" s="36">
        <v>4</v>
      </c>
      <c r="C10" s="37">
        <v>4</v>
      </c>
      <c r="D10" s="38" t="str">
        <f t="shared" si="0"/>
        <v>동률</v>
      </c>
      <c r="E10" s="39" t="s">
        <v>105</v>
      </c>
      <c r="F10" s="39" t="s">
        <v>106</v>
      </c>
      <c r="G10" s="40" t="s">
        <v>95</v>
      </c>
    </row>
    <row r="11" spans="1:7" ht="57.75" customHeight="1">
      <c r="A11" s="35" t="s">
        <v>62</v>
      </c>
      <c r="B11" s="36">
        <v>5</v>
      </c>
      <c r="C11" s="37">
        <v>2</v>
      </c>
      <c r="D11" s="38" t="str">
        <f t="shared" si="0"/>
        <v>V2</v>
      </c>
      <c r="E11" s="39" t="s">
        <v>107</v>
      </c>
      <c r="F11" s="35" t="s">
        <v>108</v>
      </c>
      <c r="G11" s="40" t="s">
        <v>95</v>
      </c>
    </row>
    <row r="12" spans="1:7" ht="57.75" customHeight="1">
      <c r="A12" s="35" t="s">
        <v>66</v>
      </c>
      <c r="B12" s="36">
        <v>4</v>
      </c>
      <c r="C12" s="37">
        <v>4</v>
      </c>
      <c r="D12" s="38" t="str">
        <f t="shared" si="0"/>
        <v>동률</v>
      </c>
      <c r="E12" s="39" t="s">
        <v>109</v>
      </c>
      <c r="F12" s="39" t="s">
        <v>110</v>
      </c>
      <c r="G12" s="40" t="s">
        <v>102</v>
      </c>
    </row>
    <row r="13" spans="1:7" ht="57.75" customHeight="1">
      <c r="A13" s="35" t="s">
        <v>70</v>
      </c>
      <c r="B13" s="36">
        <v>3</v>
      </c>
      <c r="C13" s="37">
        <v>4</v>
      </c>
      <c r="D13" s="38" t="str">
        <f t="shared" si="0"/>
        <v>V3</v>
      </c>
      <c r="E13" s="35" t="s">
        <v>111</v>
      </c>
      <c r="F13" s="35" t="s">
        <v>112</v>
      </c>
      <c r="G13" s="40" t="s">
        <v>95</v>
      </c>
    </row>
    <row r="14" spans="1:7" ht="57.75" customHeight="1">
      <c r="A14" s="35" t="s">
        <v>74</v>
      </c>
      <c r="B14" s="36">
        <v>4</v>
      </c>
      <c r="C14" s="37">
        <v>4</v>
      </c>
      <c r="D14" s="38" t="str">
        <f t="shared" si="0"/>
        <v>동률</v>
      </c>
      <c r="E14" s="35" t="s">
        <v>113</v>
      </c>
      <c r="F14" s="39" t="s">
        <v>114</v>
      </c>
      <c r="G14" s="40" t="s">
        <v>95</v>
      </c>
    </row>
    <row r="15" spans="1:7" ht="15" customHeight="1">
      <c r="A15" s="13"/>
      <c r="B15" s="13"/>
      <c r="C15" s="13"/>
      <c r="D15" s="13"/>
      <c r="E15" s="13"/>
      <c r="F15" s="13"/>
      <c r="G15" s="13"/>
    </row>
    <row r="16" spans="1:7" ht="16.5" customHeight="1">
      <c r="A16" s="33" t="s">
        <v>115</v>
      </c>
      <c r="B16" s="13"/>
      <c r="C16" s="13"/>
      <c r="D16" s="13"/>
      <c r="E16" s="13"/>
      <c r="F16" s="13"/>
      <c r="G16" s="13"/>
    </row>
    <row r="17" spans="1:7" ht="15" customHeight="1">
      <c r="A17" s="41" t="s">
        <v>116</v>
      </c>
      <c r="B17" s="16">
        <f>SUMPRODUCT(B5:B14,'01_평가기준'!$E$10:$E$19)/5</f>
        <v>80.8</v>
      </c>
      <c r="C17" s="16">
        <f>SUMPRODUCT(C5:C14,'01_평가기준'!$E$10:$E$19)/5</f>
        <v>70</v>
      </c>
      <c r="D17" s="17" t="str">
        <f>IF(B17&gt;C17,"V2 우세",IF(C17&gt;B17,"V3 우세","동률"))</f>
        <v>V2 우세</v>
      </c>
      <c r="E17" s="13"/>
      <c r="F17" s="13"/>
      <c r="G17" s="13"/>
    </row>
    <row r="18" spans="1:7" ht="15" customHeight="1">
      <c r="A18" s="41" t="s">
        <v>117</v>
      </c>
      <c r="B18" s="16">
        <f>SUMPRODUCT(B5:B14,'01_평가기준'!$F$10:$F$19)/5</f>
        <v>83.2</v>
      </c>
      <c r="C18" s="16">
        <f>SUMPRODUCT(C5:C14,'01_평가기준'!$F$10:$F$19)/5</f>
        <v>67</v>
      </c>
      <c r="D18" s="17" t="str">
        <f>IF(B18&gt;C18,"V2 우세",IF(C18&gt;B18,"V3 우세","동률"))</f>
        <v>V2 우세</v>
      </c>
      <c r="E18" s="13"/>
      <c r="F18" s="13"/>
      <c r="G18" s="13"/>
    </row>
    <row r="19" spans="1:7" ht="15" customHeight="1">
      <c r="A19" s="41" t="s">
        <v>118</v>
      </c>
      <c r="B19" s="16">
        <f>AVERAGE(B5:B14)*20</f>
        <v>82</v>
      </c>
      <c r="C19" s="16">
        <f>AVERAGE(C5:C14)*20</f>
        <v>70</v>
      </c>
      <c r="D19" s="17" t="str">
        <f>IF(B19&gt;C19,"V2 우세",IF(C19&gt;B19,"V3 우세","동률"))</f>
        <v>V2 우세</v>
      </c>
      <c r="E19" s="13"/>
      <c r="F19" s="13"/>
      <c r="G19" s="13"/>
    </row>
    <row r="20" spans="1:7" ht="15" customHeight="1">
      <c r="A20" s="41" t="s">
        <v>119</v>
      </c>
      <c r="B20" s="42">
        <f>COUNTIF(D5:D14,"V2")</f>
        <v>5</v>
      </c>
      <c r="C20" s="42">
        <f>COUNTIF(D5:D14,"V3")</f>
        <v>2</v>
      </c>
      <c r="D20" s="17" t="str">
        <f>COUNTIF(D5:D14,"동률")&amp;"건 동률"</f>
        <v>3건 동률</v>
      </c>
      <c r="E20" s="13"/>
      <c r="F20" s="13"/>
      <c r="G20" s="13"/>
    </row>
  </sheetData>
  <phoneticPr fontId="3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zoomScaleNormal="100" workbookViewId="0"/>
  </sheetViews>
  <sheetFormatPr defaultColWidth="8.6328125" defaultRowHeight="14.5"/>
  <cols>
    <col min="1" max="1" width="12" customWidth="1"/>
    <col min="2" max="2" width="38" customWidth="1"/>
    <col min="3" max="4" width="12" customWidth="1"/>
    <col min="5" max="5" width="10" customWidth="1"/>
    <col min="6" max="6" width="62" customWidth="1"/>
  </cols>
  <sheetData>
    <row r="1" spans="1:6" ht="22.5" customHeight="1">
      <c r="A1" s="24" t="s">
        <v>120</v>
      </c>
      <c r="B1" s="13"/>
      <c r="C1" s="13"/>
      <c r="D1" s="13"/>
      <c r="E1" s="13"/>
      <c r="F1" s="13"/>
    </row>
    <row r="2" spans="1:6" ht="15" customHeight="1">
      <c r="A2" s="14" t="s">
        <v>121</v>
      </c>
      <c r="B2" s="13"/>
      <c r="C2" s="13"/>
      <c r="D2" s="13"/>
      <c r="E2" s="13"/>
      <c r="F2" s="13"/>
    </row>
    <row r="3" spans="1:6" ht="15" customHeight="1">
      <c r="A3" s="25" t="s">
        <v>122</v>
      </c>
      <c r="B3" s="13"/>
      <c r="C3" s="13"/>
      <c r="D3" s="13"/>
      <c r="E3" s="13"/>
      <c r="F3" s="13"/>
    </row>
    <row r="4" spans="1:6" ht="15" customHeight="1">
      <c r="A4" s="13"/>
      <c r="B4" s="13"/>
      <c r="C4" s="13"/>
      <c r="D4" s="13"/>
      <c r="E4" s="13"/>
      <c r="F4" s="13"/>
    </row>
    <row r="5" spans="1:6" ht="33.75" customHeight="1">
      <c r="A5" s="27" t="s">
        <v>123</v>
      </c>
      <c r="B5" s="27" t="s">
        <v>124</v>
      </c>
      <c r="C5" s="34" t="s">
        <v>20</v>
      </c>
      <c r="D5" s="34" t="s">
        <v>21</v>
      </c>
      <c r="E5" s="27" t="s">
        <v>22</v>
      </c>
      <c r="F5" s="27" t="s">
        <v>125</v>
      </c>
    </row>
    <row r="6" spans="1:6" ht="39.75" customHeight="1">
      <c r="A6" s="40" t="s">
        <v>126</v>
      </c>
      <c r="B6" s="39" t="s">
        <v>127</v>
      </c>
      <c r="C6" s="43">
        <f>SUM('04_항목별비교'!F2:F96)</f>
        <v>82</v>
      </c>
      <c r="D6" s="44">
        <f>SUM('04_항목별비교'!G2:G96)</f>
        <v>70</v>
      </c>
      <c r="E6" s="38" t="str">
        <f>IF(C6&gt;D6,"V2",IF(D6&gt;C6,"V3","동률"))</f>
        <v>V2</v>
      </c>
      <c r="F6" s="35" t="s">
        <v>128</v>
      </c>
    </row>
    <row r="7" spans="1:6" ht="39.75" customHeight="1">
      <c r="A7" s="40" t="s">
        <v>126</v>
      </c>
      <c r="B7" s="39" t="s">
        <v>129</v>
      </c>
      <c r="C7" s="43">
        <f>AVERAGEIFS('04_항목별비교'!H2:H96,'04_항목별비교'!$F$2:$F$96,1,'04_항목별비교'!$G$2:$G$96,1)</f>
        <v>555.23076923076928</v>
      </c>
      <c r="D7" s="44">
        <f>AVERAGEIFS('04_항목별비교'!I2:I96,'04_항목별비교'!$F$2:$F$96,1,'04_항목별비교'!$G$2:$G$96,1)</f>
        <v>215.61538461538461</v>
      </c>
      <c r="E7" s="40" t="s">
        <v>130</v>
      </c>
      <c r="F7" s="35" t="s">
        <v>131</v>
      </c>
    </row>
    <row r="8" spans="1:6" ht="39.75" customHeight="1">
      <c r="A8" s="40" t="s">
        <v>126</v>
      </c>
      <c r="B8" s="39" t="s">
        <v>132</v>
      </c>
      <c r="C8" s="43">
        <f>AVERAGEIFS('04_항목별비교'!J2:J96,'04_항목별비교'!$F$2:$F$96,1,'04_항목별비교'!$G$2:$G$96,1)</f>
        <v>5.907692307692308</v>
      </c>
      <c r="D8" s="44">
        <f>AVERAGEIFS('04_항목별비교'!K2:K96,'04_항목별비교'!$F$2:$F$96,1,'04_항목별비교'!$G$2:$G$96,1)</f>
        <v>2.3076923076923075</v>
      </c>
      <c r="E8" s="40" t="s">
        <v>130</v>
      </c>
      <c r="F8" s="35" t="s">
        <v>133</v>
      </c>
    </row>
    <row r="9" spans="1:6" ht="39.75" customHeight="1">
      <c r="A9" s="40" t="s">
        <v>134</v>
      </c>
      <c r="B9" s="39" t="s">
        <v>135</v>
      </c>
      <c r="C9" s="43">
        <f>AVERAGEIFS('04_항목별비교'!L2:L96,'04_항목별비교'!$F$2:$F$96,1,'04_항목별비교'!$G$2:$G$96,1)</f>
        <v>92.989230769230772</v>
      </c>
      <c r="D9" s="44">
        <f>AVERAGEIFS('04_항목별비교'!M2:M96,'04_항목별비교'!$F$2:$F$96,1,'04_항목별비교'!$G$2:$G$96,1)</f>
        <v>94.090769230769226</v>
      </c>
      <c r="E9" s="40" t="s">
        <v>130</v>
      </c>
      <c r="F9" s="35" t="s">
        <v>136</v>
      </c>
    </row>
    <row r="10" spans="1:6" ht="39.75" customHeight="1">
      <c r="A10" s="40" t="s">
        <v>134</v>
      </c>
      <c r="B10" s="35" t="s">
        <v>137</v>
      </c>
      <c r="C10" s="43">
        <v>0.156</v>
      </c>
      <c r="D10" s="44">
        <v>0.18</v>
      </c>
      <c r="E10" s="38" t="str">
        <f>IF(C10&lt;D10,"V2",IF(D10&lt;C10,"V3","동률"))</f>
        <v>V2</v>
      </c>
      <c r="F10" s="35" t="s">
        <v>138</v>
      </c>
    </row>
    <row r="11" spans="1:6" ht="39.75" customHeight="1">
      <c r="A11" s="40" t="s">
        <v>139</v>
      </c>
      <c r="B11" s="39" t="s">
        <v>140</v>
      </c>
      <c r="C11" s="43">
        <f>AVERAGEIFS('04_항목별비교'!N2:N96,'04_항목별비교'!$F$2:$F$96,1,'04_항목별비교'!$G$2:$G$96,1)</f>
        <v>0.23001538461538465</v>
      </c>
      <c r="D11" s="44">
        <f>AVERAGEIFS('04_항목별비교'!O2:O96,'04_항목별비교'!$F$2:$F$96,1,'04_항목별비교'!$G$2:$G$96,1)</f>
        <v>0.1846615384615384</v>
      </c>
      <c r="E11" s="38" t="str">
        <f>IF(C11&gt;D11,"V2",IF(D11&gt;C11,"V3","동률"))</f>
        <v>V2</v>
      </c>
      <c r="F11" s="39" t="s">
        <v>141</v>
      </c>
    </row>
    <row r="12" spans="1:6" ht="39.75" customHeight="1">
      <c r="A12" s="40" t="s">
        <v>139</v>
      </c>
      <c r="B12" s="39" t="s">
        <v>142</v>
      </c>
      <c r="C12" s="43">
        <v>0.24199999999999999</v>
      </c>
      <c r="D12" s="44">
        <v>0.249</v>
      </c>
      <c r="E12" s="38" t="str">
        <f>IF(C12&gt;D12,"V2",IF(D12&gt;C12,"V3","동률"))</f>
        <v>V3</v>
      </c>
      <c r="F12" s="39" t="s">
        <v>143</v>
      </c>
    </row>
    <row r="13" spans="1:6" ht="39.75" customHeight="1">
      <c r="A13" s="40" t="s">
        <v>139</v>
      </c>
      <c r="B13" s="35" t="s">
        <v>144</v>
      </c>
      <c r="C13" s="43">
        <f>AVERAGEIFS('04_항목별비교'!P2:P96,'04_항목별비교'!$F$2:$F$96,1,'04_항목별비교'!$G$2:$G$96,1)</f>
        <v>0.9402446153846159</v>
      </c>
      <c r="D13" s="44">
        <f>AVERAGEIFS('04_항목별비교'!Q2:Q96,'04_항목별비교'!$F$2:$F$96,1,'04_항목별비교'!$G$2:$G$96,1)</f>
        <v>0.93803230769230794</v>
      </c>
      <c r="E13" s="38" t="str">
        <f>IF(C13&gt;D13,"V2",IF(D13&gt;C13,"V3","동률"))</f>
        <v>V2</v>
      </c>
      <c r="F13" s="35" t="s">
        <v>145</v>
      </c>
    </row>
    <row r="14" spans="1:6" ht="39.75" customHeight="1">
      <c r="A14" s="40" t="s">
        <v>139</v>
      </c>
      <c r="B14" s="35" t="s">
        <v>146</v>
      </c>
      <c r="C14" s="43">
        <v>0.93859999999999999</v>
      </c>
      <c r="D14" s="44">
        <v>0.93799999999999994</v>
      </c>
      <c r="E14" s="40" t="s">
        <v>130</v>
      </c>
      <c r="F14" s="39" t="s">
        <v>147</v>
      </c>
    </row>
    <row r="15" spans="1:6" ht="39.75" customHeight="1">
      <c r="A15" s="40" t="s">
        <v>139</v>
      </c>
      <c r="B15" s="35" t="s">
        <v>148</v>
      </c>
      <c r="C15" s="43">
        <f>AVERAGEIFS('04_항목별비교'!V2:V96,'04_항목별비교'!$F$2:$F$96,1,'04_항목별비교'!$G$2:$G$96,1)</f>
        <v>5.7872307692307698</v>
      </c>
      <c r="D15" s="44">
        <f>AVERAGEIFS('04_항목별비교'!W2:W96,'04_항목별비교'!$F$2:$F$96,1,'04_항목별비교'!$G$2:$G$96,1)</f>
        <v>3.7833846153846147</v>
      </c>
      <c r="E15" s="38" t="str">
        <f>IF(C15&lt;D15,"V2",IF(D15&lt;C15,"V3","동률"))</f>
        <v>V3</v>
      </c>
      <c r="F15" s="35" t="s">
        <v>149</v>
      </c>
    </row>
    <row r="16" spans="1:6" ht="39.75" customHeight="1">
      <c r="A16" s="40" t="s">
        <v>150</v>
      </c>
      <c r="B16" s="39" t="s">
        <v>151</v>
      </c>
      <c r="C16" s="43">
        <f>AVERAGEIFS('04_항목별비교'!R2:R96,'04_항목별비교'!$F$2:$F$96,1,'04_항목별비교'!$G$2:$G$96,1)</f>
        <v>0.40770769230769233</v>
      </c>
      <c r="D16" s="44">
        <f>AVERAGEIFS('04_항목별비교'!S2:S96,'04_항목별비교'!$F$2:$F$96,1,'04_항목별비교'!$G$2:$G$96,1)</f>
        <v>0.62856923076923066</v>
      </c>
      <c r="E16" s="38" t="str">
        <f>IF(C16&gt;D16,"V2",IF(D16&gt;C16,"V3","동률"))</f>
        <v>V3</v>
      </c>
      <c r="F16" s="39" t="s">
        <v>152</v>
      </c>
    </row>
    <row r="17" spans="1:6" ht="39.75" customHeight="1">
      <c r="A17" s="40" t="s">
        <v>150</v>
      </c>
      <c r="B17" s="39" t="s">
        <v>153</v>
      </c>
      <c r="C17" s="43">
        <v>0.47699999999999998</v>
      </c>
      <c r="D17" s="44">
        <v>0.35699999999999998</v>
      </c>
      <c r="E17" s="40" t="s">
        <v>130</v>
      </c>
      <c r="F17" s="35" t="s">
        <v>154</v>
      </c>
    </row>
    <row r="18" spans="1:6" ht="39.75" customHeight="1">
      <c r="A18" s="40" t="s">
        <v>150</v>
      </c>
      <c r="B18" s="39" t="s">
        <v>155</v>
      </c>
      <c r="C18" s="43">
        <f>COUNTIF('04_항목별비교'!AB2:AB96,"V2")</f>
        <v>6</v>
      </c>
      <c r="D18" s="44">
        <f>COUNTIF('04_항목별비교'!AB2:AB96,"V3")</f>
        <v>59</v>
      </c>
      <c r="E18" s="38" t="str">
        <f>IF(C18&gt;D18,"V2",IF(D18&gt;C18,"V3","동률"))</f>
        <v>V3</v>
      </c>
      <c r="F18" s="35" t="s">
        <v>156</v>
      </c>
    </row>
    <row r="19" spans="1:6" ht="39.75" customHeight="1">
      <c r="A19" s="40" t="s">
        <v>157</v>
      </c>
      <c r="B19" s="39" t="s">
        <v>158</v>
      </c>
      <c r="C19" s="43">
        <f>AVERAGEIFS('04_항목별비교'!T2:T96,'04_항목별비교'!$F$2:$F$96,1,'04_항목별비교'!$G$2:$G$96,1)</f>
        <v>0.85615384615384593</v>
      </c>
      <c r="D19" s="44">
        <f>AVERAGEIFS('04_항목별비교'!U2:U96,'04_항목별비교'!$F$2:$F$96,1,'04_항목별비교'!$G$2:$G$96,1)</f>
        <v>0.61153846153846159</v>
      </c>
      <c r="E19" s="38" t="str">
        <f>IF(C19&gt;D19,"V2",IF(D19&gt;C19,"V3","동률"))</f>
        <v>V2</v>
      </c>
      <c r="F19" s="35" t="s">
        <v>159</v>
      </c>
    </row>
    <row r="20" spans="1:6" ht="39.75" customHeight="1">
      <c r="A20" s="40" t="s">
        <v>157</v>
      </c>
      <c r="B20" s="39" t="s">
        <v>160</v>
      </c>
      <c r="C20" s="43">
        <f>COUNTIF('04_항목별비교'!AC2:AC96,"V2")</f>
        <v>43</v>
      </c>
      <c r="D20" s="44">
        <f>COUNTIF('04_항목별비교'!AC2:AC96,"V3")</f>
        <v>5</v>
      </c>
      <c r="E20" s="38" t="str">
        <f>IF(C20&gt;D20,"V2",IF(D20&gt;C20,"V3","동률"))</f>
        <v>V2</v>
      </c>
      <c r="F20" s="35" t="s">
        <v>161</v>
      </c>
    </row>
    <row r="21" spans="1:6" ht="39.75" customHeight="1">
      <c r="A21" s="40" t="s">
        <v>162</v>
      </c>
      <c r="B21" s="39" t="s">
        <v>163</v>
      </c>
      <c r="C21" s="43">
        <f>AVERAGEIFS('04_항목별비교'!X2:X96,'04_항목별비교'!$F$2:$F$96,1,'04_항목별비교'!$G$2:$G$96,1)</f>
        <v>12.923076923076923</v>
      </c>
      <c r="D21" s="44">
        <f>AVERAGEIFS('04_항목별비교'!Y2:Y96,'04_항목별비교'!$F$2:$F$96,1,'04_항목별비교'!$G$2:$G$96,1)</f>
        <v>2.7692307692307692</v>
      </c>
      <c r="E21" s="38" t="str">
        <f>IF(C21&gt;D21,"V2",IF(D21&gt;C21,"V3","동률"))</f>
        <v>V2</v>
      </c>
      <c r="F21" s="35" t="s">
        <v>164</v>
      </c>
    </row>
    <row r="22" spans="1:6" ht="39.75" customHeight="1">
      <c r="A22" s="40" t="s">
        <v>165</v>
      </c>
      <c r="B22" s="39" t="s">
        <v>166</v>
      </c>
      <c r="C22" s="43">
        <v>0</v>
      </c>
      <c r="D22" s="44">
        <f>SUM('04_항목별비교'!Z2:Z96)</f>
        <v>24</v>
      </c>
      <c r="E22" s="38" t="str">
        <f>IF(C22&lt;D22,"V2",IF(D22&lt;C22,"V3","동률"))</f>
        <v>V2</v>
      </c>
      <c r="F22" s="35" t="s">
        <v>167</v>
      </c>
    </row>
    <row r="23" spans="1:6" ht="39.75" customHeight="1">
      <c r="A23" s="40" t="s">
        <v>165</v>
      </c>
      <c r="B23" s="39" t="s">
        <v>168</v>
      </c>
      <c r="C23" s="43">
        <v>0</v>
      </c>
      <c r="D23" s="44">
        <f>SUM('04_항목별비교'!AA2:AA96)</f>
        <v>5</v>
      </c>
      <c r="E23" s="38" t="str">
        <f>IF(C23&lt;D23,"V2",IF(D23&lt;C23,"V3","동률"))</f>
        <v>V2</v>
      </c>
      <c r="F23" s="35" t="s">
        <v>169</v>
      </c>
    </row>
    <row r="24" spans="1:6" ht="39.75" customHeight="1">
      <c r="A24" s="40" t="s">
        <v>170</v>
      </c>
      <c r="B24" s="39" t="s">
        <v>171</v>
      </c>
      <c r="C24" s="43">
        <v>0.59799999999999998</v>
      </c>
      <c r="D24" s="44">
        <v>0.371</v>
      </c>
      <c r="E24" s="38" t="str">
        <f>IF(C24&gt;D24,"V2",IF(D24&gt;C24,"V3","동률"))</f>
        <v>V2</v>
      </c>
      <c r="F24" s="35" t="s">
        <v>172</v>
      </c>
    </row>
  </sheetData>
  <phoneticPr fontId="30"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96"/>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cols>
    <col min="1" max="1" width="13" customWidth="1"/>
    <col min="2" max="2" width="34" customWidth="1"/>
    <col min="3" max="3" width="30" customWidth="1"/>
    <col min="4" max="5" width="60" customWidth="1"/>
    <col min="6" max="29" width="11" customWidth="1"/>
    <col min="30" max="30" width="46" customWidth="1"/>
  </cols>
  <sheetData>
    <row r="1" spans="1:30" ht="33.75" customHeight="1">
      <c r="A1" s="27" t="s">
        <v>173</v>
      </c>
      <c r="B1" s="27" t="s">
        <v>174</v>
      </c>
      <c r="C1" s="27" t="s">
        <v>175</v>
      </c>
      <c r="D1" s="34" t="s">
        <v>176</v>
      </c>
      <c r="E1" s="34" t="s">
        <v>177</v>
      </c>
      <c r="F1" s="34" t="s">
        <v>178</v>
      </c>
      <c r="G1" s="34" t="s">
        <v>179</v>
      </c>
      <c r="H1" s="34" t="s">
        <v>180</v>
      </c>
      <c r="I1" s="34" t="s">
        <v>181</v>
      </c>
      <c r="J1" s="34" t="s">
        <v>182</v>
      </c>
      <c r="K1" s="34" t="s">
        <v>183</v>
      </c>
      <c r="L1" s="34" t="s">
        <v>184</v>
      </c>
      <c r="M1" s="34" t="s">
        <v>185</v>
      </c>
      <c r="N1" s="34" t="s">
        <v>186</v>
      </c>
      <c r="O1" s="34" t="s">
        <v>187</v>
      </c>
      <c r="P1" s="34" t="s">
        <v>188</v>
      </c>
      <c r="Q1" s="34" t="s">
        <v>189</v>
      </c>
      <c r="R1" s="34" t="s">
        <v>190</v>
      </c>
      <c r="S1" s="34" t="s">
        <v>191</v>
      </c>
      <c r="T1" s="34" t="s">
        <v>192</v>
      </c>
      <c r="U1" s="34" t="s">
        <v>193</v>
      </c>
      <c r="V1" s="34" t="s">
        <v>194</v>
      </c>
      <c r="W1" s="34" t="s">
        <v>195</v>
      </c>
      <c r="X1" s="34" t="s">
        <v>196</v>
      </c>
      <c r="Y1" s="34" t="s">
        <v>197</v>
      </c>
      <c r="Z1" s="34" t="s">
        <v>198</v>
      </c>
      <c r="AA1" s="34" t="s">
        <v>199</v>
      </c>
      <c r="AB1" s="27" t="s">
        <v>200</v>
      </c>
      <c r="AC1" s="27" t="s">
        <v>201</v>
      </c>
      <c r="AD1" s="27" t="s">
        <v>202</v>
      </c>
    </row>
    <row r="2" spans="1:30" ht="42" customHeight="1">
      <c r="A2" s="45" t="s">
        <v>203</v>
      </c>
      <c r="B2" s="46" t="s">
        <v>204</v>
      </c>
      <c r="C2" s="47" t="s">
        <v>205</v>
      </c>
      <c r="D2" s="48" t="s">
        <v>206</v>
      </c>
      <c r="E2" s="49" t="s">
        <v>207</v>
      </c>
      <c r="F2" s="50">
        <f t="shared" ref="F2:F33" si="0">IF(LEN(D2)&gt;0,1,0)</f>
        <v>1</v>
      </c>
      <c r="G2" s="50">
        <f t="shared" ref="G2:G33" si="1">IF(LEN(E2)&gt;0,1,0)</f>
        <v>1</v>
      </c>
      <c r="H2" s="45">
        <v>186</v>
      </c>
      <c r="I2" s="45">
        <v>254</v>
      </c>
      <c r="J2" s="45">
        <v>2</v>
      </c>
      <c r="K2" s="45">
        <v>2</v>
      </c>
      <c r="L2" s="45">
        <v>92.5</v>
      </c>
      <c r="M2" s="45">
        <v>126.5</v>
      </c>
      <c r="N2" s="45">
        <v>3.7999999999999999E-2</v>
      </c>
      <c r="O2" s="45">
        <v>0.19400000000000001</v>
      </c>
      <c r="P2" s="45">
        <v>0.91669999999999996</v>
      </c>
      <c r="Q2" s="45">
        <v>0.96760000000000002</v>
      </c>
      <c r="R2" s="45">
        <v>0.754</v>
      </c>
      <c r="S2" s="45">
        <v>0.79100000000000004</v>
      </c>
      <c r="T2" s="45">
        <v>0.5</v>
      </c>
      <c r="U2" s="45">
        <v>0.75</v>
      </c>
      <c r="V2" s="45">
        <v>21.51</v>
      </c>
      <c r="W2" s="45">
        <v>11.81</v>
      </c>
      <c r="X2" s="45">
        <v>0</v>
      </c>
      <c r="Y2" s="45">
        <v>1</v>
      </c>
      <c r="Z2" s="45">
        <v>1</v>
      </c>
      <c r="AA2" s="45">
        <v>0</v>
      </c>
      <c r="AB2" s="50" t="str">
        <f t="shared" ref="AB2:AB33" si="2">IF(AND($F2=1,$G2=1),IF(R2&gt;S2,"V2",IF(S2&gt;R2,"V3","동률")),"비교불가")</f>
        <v>V3</v>
      </c>
      <c r="AC2" s="50" t="str">
        <f t="shared" ref="AC2:AC33" si="3">IF(AND($F2=1,$G2=1),IF(T2&gt;U2,"V2",IF(U2&gt;T2,"V3","동률")),"비교불가")</f>
        <v>V3</v>
      </c>
      <c r="AD2" s="47" t="s">
        <v>208</v>
      </c>
    </row>
    <row r="3" spans="1:30" ht="42" customHeight="1">
      <c r="A3" s="45" t="s">
        <v>209</v>
      </c>
      <c r="B3" s="46" t="s">
        <v>210</v>
      </c>
      <c r="C3" s="47" t="s">
        <v>211</v>
      </c>
      <c r="D3" s="48" t="s">
        <v>212</v>
      </c>
      <c r="E3" s="49" t="s">
        <v>213</v>
      </c>
      <c r="F3" s="50">
        <f t="shared" si="0"/>
        <v>1</v>
      </c>
      <c r="G3" s="50">
        <f t="shared" si="1"/>
        <v>1</v>
      </c>
      <c r="H3" s="45">
        <v>731</v>
      </c>
      <c r="I3" s="45">
        <v>292</v>
      </c>
      <c r="J3" s="45">
        <v>8</v>
      </c>
      <c r="K3" s="45">
        <v>3</v>
      </c>
      <c r="L3" s="45">
        <v>90.5</v>
      </c>
      <c r="M3" s="45">
        <v>96.7</v>
      </c>
      <c r="N3" s="45">
        <v>0.309</v>
      </c>
      <c r="O3" s="45">
        <v>0.17799999999999999</v>
      </c>
      <c r="P3" s="45">
        <v>0.93440000000000001</v>
      </c>
      <c r="Q3" s="45">
        <v>0.91520000000000001</v>
      </c>
      <c r="R3" s="45">
        <v>0.52800000000000002</v>
      </c>
      <c r="S3" s="45">
        <v>0.69799999999999995</v>
      </c>
      <c r="T3" s="45">
        <v>1</v>
      </c>
      <c r="U3" s="45">
        <v>0.5</v>
      </c>
      <c r="V3" s="45">
        <v>4.0999999999999996</v>
      </c>
      <c r="W3" s="45">
        <v>3.42</v>
      </c>
      <c r="X3" s="45">
        <v>1</v>
      </c>
      <c r="Y3" s="45">
        <v>0</v>
      </c>
      <c r="Z3" s="45">
        <v>1</v>
      </c>
      <c r="AA3" s="45">
        <v>0</v>
      </c>
      <c r="AB3" s="50" t="str">
        <f t="shared" si="2"/>
        <v>V3</v>
      </c>
      <c r="AC3" s="50" t="str">
        <f t="shared" si="3"/>
        <v>V2</v>
      </c>
      <c r="AD3" s="47" t="s">
        <v>208</v>
      </c>
    </row>
    <row r="4" spans="1:30" ht="42" customHeight="1">
      <c r="A4" s="45" t="s">
        <v>214</v>
      </c>
      <c r="B4" s="46" t="s">
        <v>215</v>
      </c>
      <c r="C4" s="47" t="s">
        <v>216</v>
      </c>
      <c r="D4" s="48" t="s">
        <v>217</v>
      </c>
      <c r="E4" s="49" t="s">
        <v>218</v>
      </c>
      <c r="F4" s="50">
        <f t="shared" si="0"/>
        <v>1</v>
      </c>
      <c r="G4" s="50">
        <f t="shared" si="1"/>
        <v>1</v>
      </c>
      <c r="H4" s="45">
        <v>731</v>
      </c>
      <c r="I4" s="45">
        <v>380</v>
      </c>
      <c r="J4" s="45">
        <v>8</v>
      </c>
      <c r="K4" s="45">
        <v>4</v>
      </c>
      <c r="L4" s="45">
        <v>90.5</v>
      </c>
      <c r="M4" s="45">
        <v>94.2</v>
      </c>
      <c r="N4" s="45">
        <v>0.26100000000000001</v>
      </c>
      <c r="O4" s="45">
        <v>0.33400000000000002</v>
      </c>
      <c r="P4" s="45">
        <v>0.96040000000000003</v>
      </c>
      <c r="Q4" s="45">
        <v>0.95099999999999996</v>
      </c>
      <c r="R4" s="45">
        <v>0.56000000000000005</v>
      </c>
      <c r="S4" s="45">
        <v>0.48699999999999999</v>
      </c>
      <c r="T4" s="45">
        <v>1</v>
      </c>
      <c r="U4" s="45">
        <v>1</v>
      </c>
      <c r="V4" s="45">
        <v>6.84</v>
      </c>
      <c r="W4" s="45">
        <v>2.63</v>
      </c>
      <c r="X4" s="45">
        <v>8</v>
      </c>
      <c r="Y4" s="45">
        <v>0</v>
      </c>
      <c r="Z4" s="45">
        <v>1</v>
      </c>
      <c r="AA4" s="45">
        <v>0</v>
      </c>
      <c r="AB4" s="50" t="str">
        <f t="shared" si="2"/>
        <v>V2</v>
      </c>
      <c r="AC4" s="50" t="str">
        <f t="shared" si="3"/>
        <v>동률</v>
      </c>
      <c r="AD4" s="47" t="s">
        <v>219</v>
      </c>
    </row>
    <row r="5" spans="1:30" ht="42" customHeight="1">
      <c r="A5" s="45" t="s">
        <v>220</v>
      </c>
      <c r="B5" s="46" t="s">
        <v>221</v>
      </c>
      <c r="C5" s="46" t="s">
        <v>222</v>
      </c>
      <c r="D5" s="48" t="s">
        <v>223</v>
      </c>
      <c r="E5" s="49" t="s">
        <v>224</v>
      </c>
      <c r="F5" s="50">
        <f t="shared" si="0"/>
        <v>1</v>
      </c>
      <c r="G5" s="50">
        <f t="shared" si="1"/>
        <v>1</v>
      </c>
      <c r="H5" s="45">
        <v>510</v>
      </c>
      <c r="I5" s="45">
        <v>254</v>
      </c>
      <c r="J5" s="45">
        <v>6</v>
      </c>
      <c r="K5" s="45">
        <v>3</v>
      </c>
      <c r="L5" s="45">
        <v>84.2</v>
      </c>
      <c r="M5" s="45">
        <v>84</v>
      </c>
      <c r="N5" s="45">
        <v>0.124</v>
      </c>
      <c r="O5" s="45">
        <v>0.13800000000000001</v>
      </c>
      <c r="P5" s="45">
        <v>0.96409999999999996</v>
      </c>
      <c r="Q5" s="45">
        <v>0.95479999999999998</v>
      </c>
      <c r="R5" s="45">
        <v>0.47599999999999998</v>
      </c>
      <c r="S5" s="45">
        <v>0.57099999999999995</v>
      </c>
      <c r="T5" s="45">
        <v>0.66700000000000004</v>
      </c>
      <c r="U5" s="45">
        <v>0.66700000000000004</v>
      </c>
      <c r="V5" s="45">
        <v>3.92</v>
      </c>
      <c r="W5" s="45">
        <v>3.94</v>
      </c>
      <c r="X5" s="45">
        <v>7</v>
      </c>
      <c r="Y5" s="45">
        <v>4</v>
      </c>
      <c r="Z5" s="45">
        <v>0</v>
      </c>
      <c r="AA5" s="45">
        <v>0</v>
      </c>
      <c r="AB5" s="50" t="str">
        <f t="shared" si="2"/>
        <v>V3</v>
      </c>
      <c r="AC5" s="50" t="str">
        <f t="shared" si="3"/>
        <v>동률</v>
      </c>
      <c r="AD5" s="47" t="s">
        <v>225</v>
      </c>
    </row>
    <row r="6" spans="1:30" ht="42" customHeight="1">
      <c r="A6" s="45" t="s">
        <v>226</v>
      </c>
      <c r="B6" s="46" t="s">
        <v>227</v>
      </c>
      <c r="C6" s="46" t="s">
        <v>228</v>
      </c>
      <c r="D6" s="48"/>
      <c r="E6" s="49" t="s">
        <v>229</v>
      </c>
      <c r="F6" s="50">
        <f t="shared" si="0"/>
        <v>0</v>
      </c>
      <c r="G6" s="50">
        <f t="shared" si="1"/>
        <v>1</v>
      </c>
      <c r="H6" s="45">
        <v>0</v>
      </c>
      <c r="I6" s="45">
        <v>205</v>
      </c>
      <c r="J6" s="45">
        <v>0</v>
      </c>
      <c r="K6" s="45">
        <v>2</v>
      </c>
      <c r="L6" s="45">
        <v>0</v>
      </c>
      <c r="M6" s="45">
        <v>102</v>
      </c>
      <c r="N6" s="45">
        <v>0</v>
      </c>
      <c r="O6" s="45">
        <v>9.8000000000000004E-2</v>
      </c>
      <c r="P6" s="45">
        <v>0</v>
      </c>
      <c r="Q6" s="45">
        <v>0.97499999999999998</v>
      </c>
      <c r="R6" s="45">
        <v>0</v>
      </c>
      <c r="S6" s="45">
        <v>0.56999999999999995</v>
      </c>
      <c r="T6" s="45">
        <v>0</v>
      </c>
      <c r="U6" s="45">
        <v>0.5</v>
      </c>
      <c r="V6" s="45">
        <v>0</v>
      </c>
      <c r="W6" s="45">
        <v>0</v>
      </c>
      <c r="X6" s="45">
        <v>0</v>
      </c>
      <c r="Y6" s="45">
        <v>1</v>
      </c>
      <c r="Z6" s="45">
        <v>1</v>
      </c>
      <c r="AA6" s="45">
        <v>0</v>
      </c>
      <c r="AB6" s="50" t="str">
        <f t="shared" si="2"/>
        <v>비교불가</v>
      </c>
      <c r="AC6" s="50" t="str">
        <f t="shared" si="3"/>
        <v>비교불가</v>
      </c>
      <c r="AD6" s="47" t="s">
        <v>230</v>
      </c>
    </row>
    <row r="7" spans="1:30" ht="42" customHeight="1">
      <c r="A7" s="45" t="s">
        <v>231</v>
      </c>
      <c r="B7" s="46" t="s">
        <v>232</v>
      </c>
      <c r="C7" s="46" t="s">
        <v>233</v>
      </c>
      <c r="D7" s="48" t="s">
        <v>234</v>
      </c>
      <c r="E7" s="49" t="s">
        <v>235</v>
      </c>
      <c r="F7" s="50">
        <f t="shared" si="0"/>
        <v>1</v>
      </c>
      <c r="G7" s="50">
        <f t="shared" si="1"/>
        <v>1</v>
      </c>
      <c r="H7" s="45">
        <v>770</v>
      </c>
      <c r="I7" s="45">
        <v>399</v>
      </c>
      <c r="J7" s="45">
        <v>8</v>
      </c>
      <c r="K7" s="45">
        <v>4</v>
      </c>
      <c r="L7" s="45">
        <v>95.4</v>
      </c>
      <c r="M7" s="45">
        <v>99</v>
      </c>
      <c r="N7" s="45">
        <v>0.13</v>
      </c>
      <c r="O7" s="45">
        <v>0.13</v>
      </c>
      <c r="P7" s="45">
        <v>0.96330000000000005</v>
      </c>
      <c r="Q7" s="45">
        <v>0.97</v>
      </c>
      <c r="R7" s="45">
        <v>0.54400000000000004</v>
      </c>
      <c r="S7" s="45">
        <v>0.56200000000000006</v>
      </c>
      <c r="T7" s="45">
        <v>0.8</v>
      </c>
      <c r="U7" s="45">
        <v>0.6</v>
      </c>
      <c r="V7" s="45">
        <v>5.19</v>
      </c>
      <c r="W7" s="45">
        <v>2.5099999999999998</v>
      </c>
      <c r="X7" s="45">
        <v>7</v>
      </c>
      <c r="Y7" s="45">
        <v>7</v>
      </c>
      <c r="Z7" s="45">
        <v>0</v>
      </c>
      <c r="AA7" s="45">
        <v>0</v>
      </c>
      <c r="AB7" s="50" t="str">
        <f t="shared" si="2"/>
        <v>V3</v>
      </c>
      <c r="AC7" s="50" t="str">
        <f t="shared" si="3"/>
        <v>V2</v>
      </c>
      <c r="AD7" s="47" t="s">
        <v>236</v>
      </c>
    </row>
    <row r="8" spans="1:30" ht="42" customHeight="1">
      <c r="A8" s="45" t="s">
        <v>237</v>
      </c>
      <c r="B8" s="46" t="s">
        <v>238</v>
      </c>
      <c r="C8" s="46" t="s">
        <v>239</v>
      </c>
      <c r="D8" s="48" t="s">
        <v>240</v>
      </c>
      <c r="E8" s="49" t="s">
        <v>241</v>
      </c>
      <c r="F8" s="50">
        <f t="shared" si="0"/>
        <v>1</v>
      </c>
      <c r="G8" s="50">
        <f t="shared" si="1"/>
        <v>1</v>
      </c>
      <c r="H8" s="45">
        <v>631</v>
      </c>
      <c r="I8" s="45">
        <v>128</v>
      </c>
      <c r="J8" s="45">
        <v>8</v>
      </c>
      <c r="K8" s="45">
        <v>1</v>
      </c>
      <c r="L8" s="45">
        <v>78</v>
      </c>
      <c r="M8" s="45">
        <v>128</v>
      </c>
      <c r="N8" s="45">
        <v>0.34399999999999997</v>
      </c>
      <c r="O8" s="45">
        <v>0</v>
      </c>
      <c r="P8" s="45">
        <v>0.94640000000000002</v>
      </c>
      <c r="Q8" s="45">
        <v>0.9355</v>
      </c>
      <c r="R8" s="45">
        <v>0.187</v>
      </c>
      <c r="S8" s="45">
        <v>0.45600000000000002</v>
      </c>
      <c r="T8" s="45">
        <v>0.83299999999999996</v>
      </c>
      <c r="U8" s="45">
        <v>0.33300000000000002</v>
      </c>
      <c r="V8" s="45">
        <v>3.17</v>
      </c>
      <c r="W8" s="45">
        <v>7.81</v>
      </c>
      <c r="X8" s="45">
        <v>36</v>
      </c>
      <c r="Y8" s="45">
        <v>0</v>
      </c>
      <c r="Z8" s="45">
        <v>0</v>
      </c>
      <c r="AA8" s="45">
        <v>0</v>
      </c>
      <c r="AB8" s="50" t="str">
        <f t="shared" si="2"/>
        <v>V3</v>
      </c>
      <c r="AC8" s="50" t="str">
        <f t="shared" si="3"/>
        <v>V2</v>
      </c>
      <c r="AD8" s="47" t="s">
        <v>225</v>
      </c>
    </row>
    <row r="9" spans="1:30" ht="42" customHeight="1">
      <c r="A9" s="45" t="s">
        <v>242</v>
      </c>
      <c r="B9" s="46" t="s">
        <v>243</v>
      </c>
      <c r="C9" s="46" t="s">
        <v>244</v>
      </c>
      <c r="D9" s="48" t="s">
        <v>245</v>
      </c>
      <c r="E9" s="49" t="s">
        <v>246</v>
      </c>
      <c r="F9" s="50">
        <f t="shared" si="0"/>
        <v>1</v>
      </c>
      <c r="G9" s="50">
        <f t="shared" si="1"/>
        <v>1</v>
      </c>
      <c r="H9" s="45">
        <v>728</v>
      </c>
      <c r="I9" s="45">
        <v>290</v>
      </c>
      <c r="J9" s="45">
        <v>9</v>
      </c>
      <c r="K9" s="45">
        <v>3</v>
      </c>
      <c r="L9" s="45">
        <v>80</v>
      </c>
      <c r="M9" s="45">
        <v>96</v>
      </c>
      <c r="N9" s="45">
        <v>0.26500000000000001</v>
      </c>
      <c r="O9" s="45">
        <v>0.187</v>
      </c>
      <c r="P9" s="45">
        <v>0.93679999999999997</v>
      </c>
      <c r="Q9" s="45">
        <v>0.94299999999999995</v>
      </c>
      <c r="R9" s="45">
        <v>0.51200000000000001</v>
      </c>
      <c r="S9" s="45">
        <v>0.56399999999999995</v>
      </c>
      <c r="T9" s="45">
        <v>1</v>
      </c>
      <c r="U9" s="45">
        <v>1</v>
      </c>
      <c r="V9" s="45">
        <v>8.24</v>
      </c>
      <c r="W9" s="45">
        <v>6.9</v>
      </c>
      <c r="X9" s="45">
        <v>21</v>
      </c>
      <c r="Y9" s="45">
        <v>5</v>
      </c>
      <c r="Z9" s="45">
        <v>0</v>
      </c>
      <c r="AA9" s="45">
        <v>0</v>
      </c>
      <c r="AB9" s="50" t="str">
        <f t="shared" si="2"/>
        <v>V3</v>
      </c>
      <c r="AC9" s="50" t="str">
        <f t="shared" si="3"/>
        <v>동률</v>
      </c>
      <c r="AD9" s="47" t="s">
        <v>225</v>
      </c>
    </row>
    <row r="10" spans="1:30" ht="42" customHeight="1">
      <c r="A10" s="45" t="s">
        <v>247</v>
      </c>
      <c r="B10" s="46" t="s">
        <v>248</v>
      </c>
      <c r="C10" s="46" t="s">
        <v>249</v>
      </c>
      <c r="D10" s="48" t="s">
        <v>250</v>
      </c>
      <c r="E10" s="49" t="s">
        <v>251</v>
      </c>
      <c r="F10" s="50">
        <f t="shared" si="0"/>
        <v>1</v>
      </c>
      <c r="G10" s="50">
        <f t="shared" si="1"/>
        <v>1</v>
      </c>
      <c r="H10" s="45">
        <v>832</v>
      </c>
      <c r="I10" s="45">
        <v>149</v>
      </c>
      <c r="J10" s="45">
        <v>7</v>
      </c>
      <c r="K10" s="45">
        <v>2</v>
      </c>
      <c r="L10" s="45">
        <v>118</v>
      </c>
      <c r="M10" s="45">
        <v>74</v>
      </c>
      <c r="N10" s="45">
        <v>0.221</v>
      </c>
      <c r="O10" s="45">
        <v>0.29699999999999999</v>
      </c>
      <c r="P10" s="45">
        <v>0.94840000000000002</v>
      </c>
      <c r="Q10" s="45">
        <v>0.9375</v>
      </c>
      <c r="R10" s="45">
        <v>0.375</v>
      </c>
      <c r="S10" s="45">
        <v>0.70599999999999996</v>
      </c>
      <c r="T10" s="45">
        <v>1</v>
      </c>
      <c r="U10" s="45">
        <v>0.75</v>
      </c>
      <c r="V10" s="45">
        <v>7.21</v>
      </c>
      <c r="W10" s="45">
        <v>13.42</v>
      </c>
      <c r="X10" s="45">
        <v>1</v>
      </c>
      <c r="Y10" s="45">
        <v>0</v>
      </c>
      <c r="Z10" s="45">
        <v>0</v>
      </c>
      <c r="AA10" s="45">
        <v>0</v>
      </c>
      <c r="AB10" s="50" t="str">
        <f t="shared" si="2"/>
        <v>V3</v>
      </c>
      <c r="AC10" s="50" t="str">
        <f t="shared" si="3"/>
        <v>V2</v>
      </c>
      <c r="AD10" s="47" t="s">
        <v>252</v>
      </c>
    </row>
    <row r="11" spans="1:30" ht="42" customHeight="1">
      <c r="A11" s="45" t="s">
        <v>253</v>
      </c>
      <c r="B11" s="46" t="s">
        <v>254</v>
      </c>
      <c r="C11" s="46" t="s">
        <v>255</v>
      </c>
      <c r="D11" s="48"/>
      <c r="E11" s="49"/>
      <c r="F11" s="50">
        <f t="shared" si="0"/>
        <v>0</v>
      </c>
      <c r="G11" s="50">
        <f t="shared" si="1"/>
        <v>0</v>
      </c>
      <c r="H11" s="45">
        <v>0</v>
      </c>
      <c r="I11" s="45">
        <v>0</v>
      </c>
      <c r="J11" s="45">
        <v>0</v>
      </c>
      <c r="K11" s="45">
        <v>0</v>
      </c>
      <c r="L11" s="45">
        <v>0</v>
      </c>
      <c r="M11" s="45">
        <v>0</v>
      </c>
      <c r="N11" s="45">
        <v>0</v>
      </c>
      <c r="O11" s="45">
        <v>0</v>
      </c>
      <c r="P11" s="45">
        <v>0</v>
      </c>
      <c r="Q11" s="45">
        <v>0</v>
      </c>
      <c r="R11" s="45">
        <v>0</v>
      </c>
      <c r="S11" s="45">
        <v>0</v>
      </c>
      <c r="T11" s="45">
        <v>0</v>
      </c>
      <c r="U11" s="45">
        <v>0</v>
      </c>
      <c r="V11" s="45">
        <v>0</v>
      </c>
      <c r="W11" s="45">
        <v>0</v>
      </c>
      <c r="X11" s="45">
        <v>0</v>
      </c>
      <c r="Y11" s="45">
        <v>0</v>
      </c>
      <c r="Z11" s="45">
        <v>0</v>
      </c>
      <c r="AA11" s="45">
        <v>0</v>
      </c>
      <c r="AB11" s="50" t="str">
        <f t="shared" si="2"/>
        <v>비교불가</v>
      </c>
      <c r="AC11" s="50" t="str">
        <f t="shared" si="3"/>
        <v>비교불가</v>
      </c>
      <c r="AD11" s="47" t="s">
        <v>256</v>
      </c>
    </row>
    <row r="12" spans="1:30" ht="42" customHeight="1">
      <c r="A12" s="45" t="s">
        <v>257</v>
      </c>
      <c r="B12" s="46" t="s">
        <v>258</v>
      </c>
      <c r="C12" s="46" t="s">
        <v>259</v>
      </c>
      <c r="D12" s="48" t="s">
        <v>260</v>
      </c>
      <c r="E12" s="49"/>
      <c r="F12" s="50">
        <f t="shared" si="0"/>
        <v>1</v>
      </c>
      <c r="G12" s="50">
        <f t="shared" si="1"/>
        <v>0</v>
      </c>
      <c r="H12" s="45">
        <v>178</v>
      </c>
      <c r="I12" s="45">
        <v>0</v>
      </c>
      <c r="J12" s="45">
        <v>2</v>
      </c>
      <c r="K12" s="45">
        <v>0</v>
      </c>
      <c r="L12" s="45">
        <v>88.5</v>
      </c>
      <c r="M12" s="45">
        <v>0</v>
      </c>
      <c r="N12" s="45">
        <v>0.254</v>
      </c>
      <c r="O12" s="45">
        <v>0</v>
      </c>
      <c r="P12" s="45">
        <v>0.9</v>
      </c>
      <c r="Q12" s="45">
        <v>0</v>
      </c>
      <c r="R12" s="45">
        <v>0.11899999999999999</v>
      </c>
      <c r="S12" s="45">
        <v>0</v>
      </c>
      <c r="T12" s="45">
        <v>0.8</v>
      </c>
      <c r="U12" s="45">
        <v>0</v>
      </c>
      <c r="V12" s="45">
        <v>5.62</v>
      </c>
      <c r="W12" s="45">
        <v>0</v>
      </c>
      <c r="X12" s="45">
        <v>6</v>
      </c>
      <c r="Y12" s="45">
        <v>0</v>
      </c>
      <c r="Z12" s="45">
        <v>0</v>
      </c>
      <c r="AA12" s="45">
        <v>0</v>
      </c>
      <c r="AB12" s="50" t="str">
        <f t="shared" si="2"/>
        <v>비교불가</v>
      </c>
      <c r="AC12" s="50" t="str">
        <f t="shared" si="3"/>
        <v>비교불가</v>
      </c>
      <c r="AD12" s="47" t="s">
        <v>261</v>
      </c>
    </row>
    <row r="13" spans="1:30" ht="42" customHeight="1">
      <c r="A13" s="45" t="s">
        <v>262</v>
      </c>
      <c r="B13" s="46" t="s">
        <v>263</v>
      </c>
      <c r="C13" s="46" t="s">
        <v>264</v>
      </c>
      <c r="D13" s="48" t="s">
        <v>265</v>
      </c>
      <c r="E13" s="49" t="s">
        <v>266</v>
      </c>
      <c r="F13" s="50">
        <f t="shared" si="0"/>
        <v>1</v>
      </c>
      <c r="G13" s="50">
        <f t="shared" si="1"/>
        <v>1</v>
      </c>
      <c r="H13" s="45">
        <v>645</v>
      </c>
      <c r="I13" s="45">
        <v>215</v>
      </c>
      <c r="J13" s="45">
        <v>6</v>
      </c>
      <c r="K13" s="45">
        <v>2</v>
      </c>
      <c r="L13" s="45">
        <v>106.7</v>
      </c>
      <c r="M13" s="45">
        <v>107</v>
      </c>
      <c r="N13" s="45">
        <v>9.7000000000000003E-2</v>
      </c>
      <c r="O13" s="45">
        <v>0.32700000000000001</v>
      </c>
      <c r="P13" s="45">
        <v>0.93510000000000004</v>
      </c>
      <c r="Q13" s="45">
        <v>0.9375</v>
      </c>
      <c r="R13" s="45">
        <v>0.23</v>
      </c>
      <c r="S13" s="45">
        <v>0.55000000000000004</v>
      </c>
      <c r="T13" s="45">
        <v>1</v>
      </c>
      <c r="U13" s="45">
        <v>1</v>
      </c>
      <c r="V13" s="45">
        <v>4.6500000000000004</v>
      </c>
      <c r="W13" s="45">
        <v>0</v>
      </c>
      <c r="X13" s="45">
        <v>0</v>
      </c>
      <c r="Y13" s="45">
        <v>0</v>
      </c>
      <c r="Z13" s="45">
        <v>0</v>
      </c>
      <c r="AA13" s="45">
        <v>0</v>
      </c>
      <c r="AB13" s="50" t="str">
        <f t="shared" si="2"/>
        <v>V3</v>
      </c>
      <c r="AC13" s="50" t="str">
        <f t="shared" si="3"/>
        <v>동률</v>
      </c>
      <c r="AD13" s="47" t="s">
        <v>267</v>
      </c>
    </row>
    <row r="14" spans="1:30" ht="42" customHeight="1">
      <c r="A14" s="45" t="s">
        <v>268</v>
      </c>
      <c r="B14" s="46" t="s">
        <v>269</v>
      </c>
      <c r="C14" s="46" t="s">
        <v>270</v>
      </c>
      <c r="D14" s="48" t="s">
        <v>271</v>
      </c>
      <c r="E14" s="49" t="s">
        <v>272</v>
      </c>
      <c r="F14" s="50">
        <f t="shared" si="0"/>
        <v>1</v>
      </c>
      <c r="G14" s="50">
        <f t="shared" si="1"/>
        <v>1</v>
      </c>
      <c r="H14" s="45">
        <v>713</v>
      </c>
      <c r="I14" s="45">
        <v>279</v>
      </c>
      <c r="J14" s="45">
        <v>7</v>
      </c>
      <c r="K14" s="45">
        <v>3</v>
      </c>
      <c r="L14" s="45">
        <v>101</v>
      </c>
      <c r="M14" s="45">
        <v>92.3</v>
      </c>
      <c r="N14" s="45">
        <v>0.25600000000000001</v>
      </c>
      <c r="O14" s="45">
        <v>0.184</v>
      </c>
      <c r="P14" s="45">
        <v>0.9405</v>
      </c>
      <c r="Q14" s="45">
        <v>0.90980000000000005</v>
      </c>
      <c r="R14" s="45">
        <v>0.42299999999999999</v>
      </c>
      <c r="S14" s="45">
        <v>0.621</v>
      </c>
      <c r="T14" s="45">
        <v>1</v>
      </c>
      <c r="U14" s="45">
        <v>0.75</v>
      </c>
      <c r="V14" s="45">
        <v>7.01</v>
      </c>
      <c r="W14" s="45">
        <v>3.58</v>
      </c>
      <c r="X14" s="45">
        <v>0</v>
      </c>
      <c r="Y14" s="45">
        <v>0</v>
      </c>
      <c r="Z14" s="45">
        <v>0</v>
      </c>
      <c r="AA14" s="45">
        <v>0</v>
      </c>
      <c r="AB14" s="50" t="str">
        <f t="shared" si="2"/>
        <v>V3</v>
      </c>
      <c r="AC14" s="50" t="str">
        <f t="shared" si="3"/>
        <v>V2</v>
      </c>
      <c r="AD14" s="47" t="s">
        <v>252</v>
      </c>
    </row>
    <row r="15" spans="1:30" ht="42" customHeight="1">
      <c r="A15" s="45" t="s">
        <v>273</v>
      </c>
      <c r="B15" s="46" t="s">
        <v>274</v>
      </c>
      <c r="C15" s="46" t="s">
        <v>275</v>
      </c>
      <c r="D15" s="48" t="s">
        <v>276</v>
      </c>
      <c r="E15" s="49" t="s">
        <v>277</v>
      </c>
      <c r="F15" s="50">
        <f t="shared" si="0"/>
        <v>1</v>
      </c>
      <c r="G15" s="50">
        <f t="shared" si="1"/>
        <v>1</v>
      </c>
      <c r="H15" s="45">
        <v>636</v>
      </c>
      <c r="I15" s="45">
        <v>178</v>
      </c>
      <c r="J15" s="45">
        <v>6</v>
      </c>
      <c r="K15" s="45">
        <v>2</v>
      </c>
      <c r="L15" s="45">
        <v>105.2</v>
      </c>
      <c r="M15" s="45">
        <v>88.5</v>
      </c>
      <c r="N15" s="45">
        <v>0.14199999999999999</v>
      </c>
      <c r="O15" s="45">
        <v>0.32200000000000001</v>
      </c>
      <c r="P15" s="45">
        <v>0.94069999999999998</v>
      </c>
      <c r="Q15" s="45">
        <v>0.86670000000000003</v>
      </c>
      <c r="R15" s="45">
        <v>0.31</v>
      </c>
      <c r="S15" s="45">
        <v>0.69</v>
      </c>
      <c r="T15" s="45">
        <v>1</v>
      </c>
      <c r="U15" s="45">
        <v>0.8</v>
      </c>
      <c r="V15" s="45">
        <v>4.72</v>
      </c>
      <c r="W15" s="45">
        <v>11.24</v>
      </c>
      <c r="X15" s="45">
        <v>0</v>
      </c>
      <c r="Y15" s="45">
        <v>0</v>
      </c>
      <c r="Z15" s="45">
        <v>0</v>
      </c>
      <c r="AA15" s="45">
        <v>0</v>
      </c>
      <c r="AB15" s="50" t="str">
        <f t="shared" si="2"/>
        <v>V3</v>
      </c>
      <c r="AC15" s="50" t="str">
        <f t="shared" si="3"/>
        <v>V2</v>
      </c>
      <c r="AD15" s="47" t="s">
        <v>236</v>
      </c>
    </row>
    <row r="16" spans="1:30" ht="42" customHeight="1">
      <c r="A16" s="45" t="s">
        <v>278</v>
      </c>
      <c r="B16" s="46" t="s">
        <v>279</v>
      </c>
      <c r="C16" s="46" t="s">
        <v>280</v>
      </c>
      <c r="D16" s="48"/>
      <c r="E16" s="49"/>
      <c r="F16" s="50">
        <f t="shared" si="0"/>
        <v>0</v>
      </c>
      <c r="G16" s="50">
        <f t="shared" si="1"/>
        <v>0</v>
      </c>
      <c r="H16" s="45">
        <v>0</v>
      </c>
      <c r="I16" s="45">
        <v>0</v>
      </c>
      <c r="J16" s="45">
        <v>0</v>
      </c>
      <c r="K16" s="45">
        <v>0</v>
      </c>
      <c r="L16" s="45">
        <v>0</v>
      </c>
      <c r="M16" s="45">
        <v>0</v>
      </c>
      <c r="N16" s="45">
        <v>0</v>
      </c>
      <c r="O16" s="45">
        <v>0</v>
      </c>
      <c r="P16" s="45">
        <v>0</v>
      </c>
      <c r="Q16" s="45">
        <v>0</v>
      </c>
      <c r="R16" s="45">
        <v>0</v>
      </c>
      <c r="S16" s="45">
        <v>0</v>
      </c>
      <c r="T16" s="45">
        <v>0</v>
      </c>
      <c r="U16" s="45">
        <v>0</v>
      </c>
      <c r="V16" s="45">
        <v>0</v>
      </c>
      <c r="W16" s="45">
        <v>0</v>
      </c>
      <c r="X16" s="45">
        <v>0</v>
      </c>
      <c r="Y16" s="45">
        <v>0</v>
      </c>
      <c r="Z16" s="45">
        <v>0</v>
      </c>
      <c r="AA16" s="45">
        <v>0</v>
      </c>
      <c r="AB16" s="50" t="str">
        <f t="shared" si="2"/>
        <v>비교불가</v>
      </c>
      <c r="AC16" s="50" t="str">
        <f t="shared" si="3"/>
        <v>비교불가</v>
      </c>
      <c r="AD16" s="47" t="s">
        <v>281</v>
      </c>
    </row>
    <row r="17" spans="1:30" ht="42" customHeight="1">
      <c r="A17" s="45" t="s">
        <v>282</v>
      </c>
      <c r="B17" s="46" t="s">
        <v>283</v>
      </c>
      <c r="C17" s="46" t="s">
        <v>284</v>
      </c>
      <c r="D17" s="48" t="s">
        <v>285</v>
      </c>
      <c r="E17" s="49" t="s">
        <v>286</v>
      </c>
      <c r="F17" s="50">
        <f t="shared" si="0"/>
        <v>1</v>
      </c>
      <c r="G17" s="50">
        <f t="shared" si="1"/>
        <v>1</v>
      </c>
      <c r="H17" s="45">
        <v>672</v>
      </c>
      <c r="I17" s="45">
        <v>341</v>
      </c>
      <c r="J17" s="45">
        <v>7</v>
      </c>
      <c r="K17" s="45">
        <v>3</v>
      </c>
      <c r="L17" s="45">
        <v>95.1</v>
      </c>
      <c r="M17" s="45">
        <v>113</v>
      </c>
      <c r="N17" s="45">
        <v>0.155</v>
      </c>
      <c r="O17" s="45">
        <v>0.19400000000000001</v>
      </c>
      <c r="P17" s="45">
        <v>0.93310000000000004</v>
      </c>
      <c r="Q17" s="45">
        <v>0.91249999999999998</v>
      </c>
      <c r="R17" s="45">
        <v>0.38800000000000001</v>
      </c>
      <c r="S17" s="45">
        <v>0.69799999999999995</v>
      </c>
      <c r="T17" s="45">
        <v>1</v>
      </c>
      <c r="U17" s="45">
        <v>1</v>
      </c>
      <c r="V17" s="45">
        <v>4.46</v>
      </c>
      <c r="W17" s="45">
        <v>2.93</v>
      </c>
      <c r="X17" s="45">
        <v>5</v>
      </c>
      <c r="Y17" s="45">
        <v>15</v>
      </c>
      <c r="Z17" s="45">
        <v>0</v>
      </c>
      <c r="AA17" s="45">
        <v>0</v>
      </c>
      <c r="AB17" s="50" t="str">
        <f t="shared" si="2"/>
        <v>V3</v>
      </c>
      <c r="AC17" s="50" t="str">
        <f t="shared" si="3"/>
        <v>동률</v>
      </c>
      <c r="AD17" s="47" t="s">
        <v>225</v>
      </c>
    </row>
    <row r="18" spans="1:30" ht="42" customHeight="1">
      <c r="A18" s="45" t="s">
        <v>287</v>
      </c>
      <c r="B18" s="46" t="s">
        <v>288</v>
      </c>
      <c r="C18" s="46" t="s">
        <v>289</v>
      </c>
      <c r="D18" s="48" t="s">
        <v>290</v>
      </c>
      <c r="E18" s="49" t="s">
        <v>291</v>
      </c>
      <c r="F18" s="50">
        <f t="shared" si="0"/>
        <v>1</v>
      </c>
      <c r="G18" s="50">
        <f t="shared" si="1"/>
        <v>1</v>
      </c>
      <c r="H18" s="45">
        <v>565</v>
      </c>
      <c r="I18" s="45">
        <v>286</v>
      </c>
      <c r="J18" s="45">
        <v>6</v>
      </c>
      <c r="K18" s="45">
        <v>3</v>
      </c>
      <c r="L18" s="45">
        <v>93.3</v>
      </c>
      <c r="M18" s="45">
        <v>94.7</v>
      </c>
      <c r="N18" s="45">
        <v>0.27200000000000002</v>
      </c>
      <c r="O18" s="45">
        <v>0.152</v>
      </c>
      <c r="P18" s="45">
        <v>0.95609999999999995</v>
      </c>
      <c r="Q18" s="45">
        <v>0.95199999999999996</v>
      </c>
      <c r="R18" s="45">
        <v>0.6</v>
      </c>
      <c r="S18" s="45">
        <v>0.71799999999999997</v>
      </c>
      <c r="T18" s="45">
        <v>1</v>
      </c>
      <c r="U18" s="45">
        <v>1</v>
      </c>
      <c r="V18" s="45">
        <v>3.54</v>
      </c>
      <c r="W18" s="45">
        <v>3.5</v>
      </c>
      <c r="X18" s="45">
        <v>0</v>
      </c>
      <c r="Y18" s="45">
        <v>0</v>
      </c>
      <c r="Z18" s="45">
        <v>0</v>
      </c>
      <c r="AA18" s="45">
        <v>0</v>
      </c>
      <c r="AB18" s="50" t="str">
        <f t="shared" si="2"/>
        <v>V3</v>
      </c>
      <c r="AC18" s="50" t="str">
        <f t="shared" si="3"/>
        <v>동률</v>
      </c>
      <c r="AD18" s="47" t="s">
        <v>267</v>
      </c>
    </row>
    <row r="19" spans="1:30" ht="42" customHeight="1">
      <c r="A19" s="45" t="s">
        <v>292</v>
      </c>
      <c r="B19" s="46" t="s">
        <v>293</v>
      </c>
      <c r="C19" s="46" t="s">
        <v>294</v>
      </c>
      <c r="D19" s="48" t="s">
        <v>295</v>
      </c>
      <c r="E19" s="49" t="s">
        <v>296</v>
      </c>
      <c r="F19" s="50">
        <f t="shared" si="0"/>
        <v>1</v>
      </c>
      <c r="G19" s="50">
        <f t="shared" si="1"/>
        <v>1</v>
      </c>
      <c r="H19" s="45">
        <v>739</v>
      </c>
      <c r="I19" s="45">
        <v>336</v>
      </c>
      <c r="J19" s="45">
        <v>7</v>
      </c>
      <c r="K19" s="45">
        <v>3</v>
      </c>
      <c r="L19" s="45">
        <v>104.7</v>
      </c>
      <c r="M19" s="45">
        <v>111.3</v>
      </c>
      <c r="N19" s="45">
        <v>0.307</v>
      </c>
      <c r="O19" s="45">
        <v>0.218</v>
      </c>
      <c r="P19" s="45">
        <v>0.94030000000000002</v>
      </c>
      <c r="Q19" s="45">
        <v>0.92830000000000001</v>
      </c>
      <c r="R19" s="45">
        <v>0.46600000000000003</v>
      </c>
      <c r="S19" s="45">
        <v>0.69299999999999995</v>
      </c>
      <c r="T19" s="45">
        <v>1</v>
      </c>
      <c r="U19" s="45">
        <v>0.6</v>
      </c>
      <c r="V19" s="45">
        <v>4.0599999999999996</v>
      </c>
      <c r="W19" s="45">
        <v>2.98</v>
      </c>
      <c r="X19" s="45">
        <v>8</v>
      </c>
      <c r="Y19" s="45">
        <v>20</v>
      </c>
      <c r="Z19" s="45">
        <v>0</v>
      </c>
      <c r="AA19" s="45">
        <v>0</v>
      </c>
      <c r="AB19" s="50" t="str">
        <f t="shared" si="2"/>
        <v>V3</v>
      </c>
      <c r="AC19" s="50" t="str">
        <f t="shared" si="3"/>
        <v>V2</v>
      </c>
      <c r="AD19" s="47" t="s">
        <v>225</v>
      </c>
    </row>
    <row r="20" spans="1:30" ht="42" customHeight="1">
      <c r="A20" s="45" t="s">
        <v>297</v>
      </c>
      <c r="B20" s="46" t="s">
        <v>298</v>
      </c>
      <c r="C20" s="46" t="s">
        <v>299</v>
      </c>
      <c r="D20" s="48" t="s">
        <v>300</v>
      </c>
      <c r="E20" s="49"/>
      <c r="F20" s="50">
        <f t="shared" si="0"/>
        <v>1</v>
      </c>
      <c r="G20" s="50">
        <f t="shared" si="1"/>
        <v>0</v>
      </c>
      <c r="H20" s="45">
        <v>425</v>
      </c>
      <c r="I20" s="45">
        <v>0</v>
      </c>
      <c r="J20" s="45">
        <v>4</v>
      </c>
      <c r="K20" s="45">
        <v>0</v>
      </c>
      <c r="L20" s="45">
        <v>105.5</v>
      </c>
      <c r="M20" s="45">
        <v>0</v>
      </c>
      <c r="N20" s="45">
        <v>0.28499999999999998</v>
      </c>
      <c r="O20" s="45">
        <v>0</v>
      </c>
      <c r="P20" s="45">
        <v>0.95469999999999999</v>
      </c>
      <c r="Q20" s="45">
        <v>0</v>
      </c>
      <c r="R20" s="45">
        <v>0.47099999999999997</v>
      </c>
      <c r="S20" s="45">
        <v>0</v>
      </c>
      <c r="T20" s="45">
        <v>0.6</v>
      </c>
      <c r="U20" s="45">
        <v>0</v>
      </c>
      <c r="V20" s="45">
        <v>9.41</v>
      </c>
      <c r="W20" s="45">
        <v>0</v>
      </c>
      <c r="X20" s="45">
        <v>25</v>
      </c>
      <c r="Y20" s="45">
        <v>0</v>
      </c>
      <c r="Z20" s="45">
        <v>0</v>
      </c>
      <c r="AA20" s="45">
        <v>0</v>
      </c>
      <c r="AB20" s="50" t="str">
        <f t="shared" si="2"/>
        <v>비교불가</v>
      </c>
      <c r="AC20" s="50" t="str">
        <f t="shared" si="3"/>
        <v>비교불가</v>
      </c>
      <c r="AD20" s="47" t="s">
        <v>281</v>
      </c>
    </row>
    <row r="21" spans="1:30" ht="42" customHeight="1">
      <c r="A21" s="45" t="s">
        <v>301</v>
      </c>
      <c r="B21" s="46" t="s">
        <v>302</v>
      </c>
      <c r="C21" s="46" t="s">
        <v>303</v>
      </c>
      <c r="D21" s="48" t="s">
        <v>304</v>
      </c>
      <c r="E21" s="49" t="s">
        <v>305</v>
      </c>
      <c r="F21" s="50">
        <f t="shared" si="0"/>
        <v>1</v>
      </c>
      <c r="G21" s="50">
        <f t="shared" si="1"/>
        <v>1</v>
      </c>
      <c r="H21" s="45">
        <v>632</v>
      </c>
      <c r="I21" s="45">
        <v>300</v>
      </c>
      <c r="J21" s="45">
        <v>6</v>
      </c>
      <c r="K21" s="45">
        <v>3</v>
      </c>
      <c r="L21" s="45">
        <v>104.5</v>
      </c>
      <c r="M21" s="45">
        <v>99.3</v>
      </c>
      <c r="N21" s="45">
        <v>0.251</v>
      </c>
      <c r="O21" s="45">
        <v>0.18099999999999999</v>
      </c>
      <c r="P21" s="45">
        <v>0.93700000000000006</v>
      </c>
      <c r="Q21" s="45">
        <v>0.92420000000000002</v>
      </c>
      <c r="R21" s="45">
        <v>0.36199999999999999</v>
      </c>
      <c r="S21" s="45">
        <v>0.71799999999999997</v>
      </c>
      <c r="T21" s="45">
        <v>0.66700000000000004</v>
      </c>
      <c r="U21" s="45">
        <v>0.66700000000000004</v>
      </c>
      <c r="V21" s="45">
        <v>11.08</v>
      </c>
      <c r="W21" s="45">
        <v>6.67</v>
      </c>
      <c r="X21" s="45">
        <v>5</v>
      </c>
      <c r="Y21" s="45">
        <v>5</v>
      </c>
      <c r="Z21" s="45">
        <v>1</v>
      </c>
      <c r="AA21" s="45">
        <v>1</v>
      </c>
      <c r="AB21" s="50" t="str">
        <f t="shared" si="2"/>
        <v>V3</v>
      </c>
      <c r="AC21" s="50" t="str">
        <f t="shared" si="3"/>
        <v>동률</v>
      </c>
      <c r="AD21" s="47" t="s">
        <v>306</v>
      </c>
    </row>
    <row r="22" spans="1:30" ht="42" customHeight="1">
      <c r="A22" s="45" t="s">
        <v>307</v>
      </c>
      <c r="B22" s="46" t="s">
        <v>308</v>
      </c>
      <c r="C22" s="46" t="s">
        <v>309</v>
      </c>
      <c r="D22" s="48" t="s">
        <v>310</v>
      </c>
      <c r="E22" s="49" t="s">
        <v>311</v>
      </c>
      <c r="F22" s="50">
        <f t="shared" si="0"/>
        <v>1</v>
      </c>
      <c r="G22" s="50">
        <f t="shared" si="1"/>
        <v>1</v>
      </c>
      <c r="H22" s="45">
        <v>178</v>
      </c>
      <c r="I22" s="45">
        <v>143</v>
      </c>
      <c r="J22" s="45">
        <v>2</v>
      </c>
      <c r="K22" s="45">
        <v>2</v>
      </c>
      <c r="L22" s="45">
        <v>88.5</v>
      </c>
      <c r="M22" s="45">
        <v>71</v>
      </c>
      <c r="N22" s="45">
        <v>0.24299999999999999</v>
      </c>
      <c r="O22" s="45">
        <v>0.23899999999999999</v>
      </c>
      <c r="P22" s="45">
        <v>0.94740000000000002</v>
      </c>
      <c r="Q22" s="45">
        <v>0.9677</v>
      </c>
      <c r="R22" s="45">
        <v>0.36799999999999999</v>
      </c>
      <c r="S22" s="45">
        <v>0.55400000000000005</v>
      </c>
      <c r="T22" s="45">
        <v>1</v>
      </c>
      <c r="U22" s="45">
        <v>0.66700000000000004</v>
      </c>
      <c r="V22" s="45">
        <v>0</v>
      </c>
      <c r="W22" s="45">
        <v>6.99</v>
      </c>
      <c r="X22" s="45">
        <v>1</v>
      </c>
      <c r="Y22" s="45">
        <v>1</v>
      </c>
      <c r="Z22" s="45">
        <v>0</v>
      </c>
      <c r="AA22" s="45">
        <v>0</v>
      </c>
      <c r="AB22" s="50" t="str">
        <f t="shared" si="2"/>
        <v>V3</v>
      </c>
      <c r="AC22" s="50" t="str">
        <f t="shared" si="3"/>
        <v>V2</v>
      </c>
      <c r="AD22" s="47" t="s">
        <v>236</v>
      </c>
    </row>
    <row r="23" spans="1:30" ht="42" customHeight="1">
      <c r="A23" s="45" t="s">
        <v>312</v>
      </c>
      <c r="B23" s="46" t="s">
        <v>313</v>
      </c>
      <c r="C23" s="46" t="s">
        <v>314</v>
      </c>
      <c r="D23" s="48" t="s">
        <v>315</v>
      </c>
      <c r="E23" s="49" t="s">
        <v>316</v>
      </c>
      <c r="F23" s="50">
        <f t="shared" si="0"/>
        <v>1</v>
      </c>
      <c r="G23" s="50">
        <f t="shared" si="1"/>
        <v>1</v>
      </c>
      <c r="H23" s="45">
        <v>579</v>
      </c>
      <c r="I23" s="45">
        <v>73</v>
      </c>
      <c r="J23" s="45">
        <v>7</v>
      </c>
      <c r="K23" s="45">
        <v>1</v>
      </c>
      <c r="L23" s="45">
        <v>81.900000000000006</v>
      </c>
      <c r="M23" s="45">
        <v>73</v>
      </c>
      <c r="N23" s="45">
        <v>0.104</v>
      </c>
      <c r="O23" s="45">
        <v>0</v>
      </c>
      <c r="P23" s="45">
        <v>0.89119999999999999</v>
      </c>
      <c r="Q23" s="45">
        <v>1</v>
      </c>
      <c r="R23" s="45">
        <v>0.34</v>
      </c>
      <c r="S23" s="45">
        <v>0.75</v>
      </c>
      <c r="T23" s="45">
        <v>1</v>
      </c>
      <c r="U23" s="45">
        <v>0.6</v>
      </c>
      <c r="V23" s="45">
        <v>6.91</v>
      </c>
      <c r="W23" s="45">
        <v>0</v>
      </c>
      <c r="X23" s="45">
        <v>0</v>
      </c>
      <c r="Y23" s="45">
        <v>0</v>
      </c>
      <c r="Z23" s="45">
        <v>1</v>
      </c>
      <c r="AA23" s="45">
        <v>0</v>
      </c>
      <c r="AB23" s="50" t="str">
        <f t="shared" si="2"/>
        <v>V3</v>
      </c>
      <c r="AC23" s="50" t="str">
        <f t="shared" si="3"/>
        <v>V2</v>
      </c>
      <c r="AD23" s="47" t="s">
        <v>219</v>
      </c>
    </row>
    <row r="24" spans="1:30" ht="42" customHeight="1">
      <c r="A24" s="45" t="s">
        <v>317</v>
      </c>
      <c r="B24" s="46" t="s">
        <v>318</v>
      </c>
      <c r="C24" s="46" t="s">
        <v>319</v>
      </c>
      <c r="D24" s="48" t="s">
        <v>320</v>
      </c>
      <c r="E24" s="49"/>
      <c r="F24" s="50">
        <f t="shared" si="0"/>
        <v>1</v>
      </c>
      <c r="G24" s="50">
        <f t="shared" si="1"/>
        <v>0</v>
      </c>
      <c r="H24" s="45">
        <v>359</v>
      </c>
      <c r="I24" s="45">
        <v>0</v>
      </c>
      <c r="J24" s="45">
        <v>5</v>
      </c>
      <c r="K24" s="45">
        <v>0</v>
      </c>
      <c r="L24" s="45">
        <v>71</v>
      </c>
      <c r="M24" s="45">
        <v>0</v>
      </c>
      <c r="N24" s="45">
        <v>0.31900000000000001</v>
      </c>
      <c r="O24" s="45">
        <v>0</v>
      </c>
      <c r="P24" s="45">
        <v>0.92500000000000004</v>
      </c>
      <c r="Q24" s="45">
        <v>0</v>
      </c>
      <c r="R24" s="45">
        <v>0.34799999999999998</v>
      </c>
      <c r="S24" s="45">
        <v>0</v>
      </c>
      <c r="T24" s="45">
        <v>0.5</v>
      </c>
      <c r="U24" s="45">
        <v>0</v>
      </c>
      <c r="V24" s="45">
        <v>5.57</v>
      </c>
      <c r="W24" s="45">
        <v>0</v>
      </c>
      <c r="X24" s="45">
        <v>62</v>
      </c>
      <c r="Y24" s="45">
        <v>0</v>
      </c>
      <c r="Z24" s="45">
        <v>0</v>
      </c>
      <c r="AA24" s="45">
        <v>0</v>
      </c>
      <c r="AB24" s="50" t="str">
        <f t="shared" si="2"/>
        <v>비교불가</v>
      </c>
      <c r="AC24" s="50" t="str">
        <f t="shared" si="3"/>
        <v>비교불가</v>
      </c>
      <c r="AD24" s="47" t="s">
        <v>281</v>
      </c>
    </row>
    <row r="25" spans="1:30" ht="42" customHeight="1">
      <c r="A25" s="45" t="s">
        <v>321</v>
      </c>
      <c r="B25" s="46" t="s">
        <v>322</v>
      </c>
      <c r="C25" s="46" t="s">
        <v>323</v>
      </c>
      <c r="D25" s="48" t="s">
        <v>324</v>
      </c>
      <c r="E25" s="49" t="s">
        <v>325</v>
      </c>
      <c r="F25" s="50">
        <f t="shared" si="0"/>
        <v>1</v>
      </c>
      <c r="G25" s="50">
        <f t="shared" si="1"/>
        <v>1</v>
      </c>
      <c r="H25" s="45">
        <v>686</v>
      </c>
      <c r="I25" s="45">
        <v>308</v>
      </c>
      <c r="J25" s="45">
        <v>8</v>
      </c>
      <c r="K25" s="45">
        <v>3</v>
      </c>
      <c r="L25" s="45">
        <v>84.9</v>
      </c>
      <c r="M25" s="45">
        <v>102</v>
      </c>
      <c r="N25" s="45">
        <v>0.23599999999999999</v>
      </c>
      <c r="O25" s="45">
        <v>6.3E-2</v>
      </c>
      <c r="P25" s="45">
        <v>0.93479999999999996</v>
      </c>
      <c r="Q25" s="45">
        <v>0.97430000000000005</v>
      </c>
      <c r="R25" s="45">
        <v>0.251</v>
      </c>
      <c r="S25" s="45">
        <v>0.53200000000000003</v>
      </c>
      <c r="T25" s="45">
        <v>0.33300000000000002</v>
      </c>
      <c r="U25" s="45">
        <v>0.66700000000000004</v>
      </c>
      <c r="V25" s="45">
        <v>8.75</v>
      </c>
      <c r="W25" s="45">
        <v>3.25</v>
      </c>
      <c r="X25" s="45">
        <v>4</v>
      </c>
      <c r="Y25" s="45">
        <v>0</v>
      </c>
      <c r="Z25" s="45">
        <v>0</v>
      </c>
      <c r="AA25" s="45">
        <v>0</v>
      </c>
      <c r="AB25" s="50" t="str">
        <f t="shared" si="2"/>
        <v>V3</v>
      </c>
      <c r="AC25" s="50" t="str">
        <f t="shared" si="3"/>
        <v>V3</v>
      </c>
      <c r="AD25" s="47" t="s">
        <v>267</v>
      </c>
    </row>
    <row r="26" spans="1:30" ht="42" customHeight="1">
      <c r="A26" s="45" t="s">
        <v>326</v>
      </c>
      <c r="B26" s="46" t="s">
        <v>327</v>
      </c>
      <c r="C26" s="46" t="s">
        <v>328</v>
      </c>
      <c r="D26" s="48" t="s">
        <v>329</v>
      </c>
      <c r="E26" s="49" t="s">
        <v>330</v>
      </c>
      <c r="F26" s="50">
        <f t="shared" si="0"/>
        <v>1</v>
      </c>
      <c r="G26" s="50">
        <f t="shared" si="1"/>
        <v>1</v>
      </c>
      <c r="H26" s="45">
        <v>561</v>
      </c>
      <c r="I26" s="45">
        <v>216</v>
      </c>
      <c r="J26" s="45">
        <v>6</v>
      </c>
      <c r="K26" s="45">
        <v>3</v>
      </c>
      <c r="L26" s="45">
        <v>92.7</v>
      </c>
      <c r="M26" s="45">
        <v>71.3</v>
      </c>
      <c r="N26" s="45">
        <v>0.17299999999999999</v>
      </c>
      <c r="O26" s="45">
        <v>0.30399999999999999</v>
      </c>
      <c r="P26" s="45">
        <v>0.95679999999999998</v>
      </c>
      <c r="Q26" s="45">
        <v>0.94499999999999995</v>
      </c>
      <c r="R26" s="45">
        <v>0.30199999999999999</v>
      </c>
      <c r="S26" s="45">
        <v>0.69299999999999995</v>
      </c>
      <c r="T26" s="45">
        <v>1</v>
      </c>
      <c r="U26" s="45">
        <v>0.75</v>
      </c>
      <c r="V26" s="45">
        <v>5.35</v>
      </c>
      <c r="W26" s="45">
        <v>9.26</v>
      </c>
      <c r="X26" s="45">
        <v>0</v>
      </c>
      <c r="Y26" s="45">
        <v>1</v>
      </c>
      <c r="Z26" s="45">
        <v>0</v>
      </c>
      <c r="AA26" s="45">
        <v>0</v>
      </c>
      <c r="AB26" s="50" t="str">
        <f t="shared" si="2"/>
        <v>V3</v>
      </c>
      <c r="AC26" s="50" t="str">
        <f t="shared" si="3"/>
        <v>V2</v>
      </c>
      <c r="AD26" s="47" t="s">
        <v>252</v>
      </c>
    </row>
    <row r="27" spans="1:30" ht="42" customHeight="1">
      <c r="A27" s="45" t="s">
        <v>331</v>
      </c>
      <c r="B27" s="46" t="s">
        <v>332</v>
      </c>
      <c r="C27" s="46" t="s">
        <v>333</v>
      </c>
      <c r="D27" s="48" t="s">
        <v>334</v>
      </c>
      <c r="E27" s="49" t="s">
        <v>335</v>
      </c>
      <c r="F27" s="50">
        <f t="shared" si="0"/>
        <v>1</v>
      </c>
      <c r="G27" s="50">
        <f t="shared" si="1"/>
        <v>1</v>
      </c>
      <c r="H27" s="45">
        <v>693</v>
      </c>
      <c r="I27" s="45">
        <v>378</v>
      </c>
      <c r="J27" s="45">
        <v>8</v>
      </c>
      <c r="K27" s="45">
        <v>3</v>
      </c>
      <c r="L27" s="45">
        <v>85.8</v>
      </c>
      <c r="M27" s="45">
        <v>125.3</v>
      </c>
      <c r="N27" s="45">
        <v>0.22500000000000001</v>
      </c>
      <c r="O27" s="45">
        <v>0.111</v>
      </c>
      <c r="P27" s="45">
        <v>0.93</v>
      </c>
      <c r="Q27" s="45">
        <v>0.93140000000000001</v>
      </c>
      <c r="R27" s="45">
        <v>0.51300000000000001</v>
      </c>
      <c r="S27" s="45">
        <v>0.58099999999999996</v>
      </c>
      <c r="T27" s="45">
        <v>1</v>
      </c>
      <c r="U27" s="45">
        <v>0.5</v>
      </c>
      <c r="V27" s="45">
        <v>5.77</v>
      </c>
      <c r="W27" s="45">
        <v>10.58</v>
      </c>
      <c r="X27" s="45">
        <v>5</v>
      </c>
      <c r="Y27" s="45">
        <v>5</v>
      </c>
      <c r="Z27" s="45">
        <v>0</v>
      </c>
      <c r="AA27" s="45">
        <v>0</v>
      </c>
      <c r="AB27" s="50" t="str">
        <f t="shared" si="2"/>
        <v>V3</v>
      </c>
      <c r="AC27" s="50" t="str">
        <f t="shared" si="3"/>
        <v>V2</v>
      </c>
      <c r="AD27" s="47" t="s">
        <v>225</v>
      </c>
    </row>
    <row r="28" spans="1:30" ht="42" customHeight="1">
      <c r="A28" s="45" t="s">
        <v>336</v>
      </c>
      <c r="B28" s="46" t="s">
        <v>337</v>
      </c>
      <c r="C28" s="46" t="s">
        <v>338</v>
      </c>
      <c r="D28" s="48" t="s">
        <v>339</v>
      </c>
      <c r="E28" s="49"/>
      <c r="F28" s="50">
        <f t="shared" si="0"/>
        <v>1</v>
      </c>
      <c r="G28" s="50">
        <f t="shared" si="1"/>
        <v>0</v>
      </c>
      <c r="H28" s="45">
        <v>661</v>
      </c>
      <c r="I28" s="45">
        <v>0</v>
      </c>
      <c r="J28" s="45">
        <v>8</v>
      </c>
      <c r="K28" s="45">
        <v>0</v>
      </c>
      <c r="L28" s="45">
        <v>81.8</v>
      </c>
      <c r="M28" s="45">
        <v>0</v>
      </c>
      <c r="N28" s="45">
        <v>0.33700000000000002</v>
      </c>
      <c r="O28" s="45">
        <v>0</v>
      </c>
      <c r="P28" s="45">
        <v>0.91039999999999999</v>
      </c>
      <c r="Q28" s="45">
        <v>0</v>
      </c>
      <c r="R28" s="45">
        <v>0.309</v>
      </c>
      <c r="S28" s="45">
        <v>0</v>
      </c>
      <c r="T28" s="45">
        <v>1</v>
      </c>
      <c r="U28" s="45">
        <v>0</v>
      </c>
      <c r="V28" s="45">
        <v>0</v>
      </c>
      <c r="W28" s="45">
        <v>0</v>
      </c>
      <c r="X28" s="45">
        <v>107</v>
      </c>
      <c r="Y28" s="45">
        <v>0</v>
      </c>
      <c r="Z28" s="45">
        <v>0</v>
      </c>
      <c r="AA28" s="45">
        <v>0</v>
      </c>
      <c r="AB28" s="50" t="str">
        <f t="shared" si="2"/>
        <v>비교불가</v>
      </c>
      <c r="AC28" s="50" t="str">
        <f t="shared" si="3"/>
        <v>비교불가</v>
      </c>
      <c r="AD28" s="47" t="s">
        <v>281</v>
      </c>
    </row>
    <row r="29" spans="1:30" ht="42" customHeight="1">
      <c r="A29" s="45" t="s">
        <v>340</v>
      </c>
      <c r="B29" s="46" t="s">
        <v>341</v>
      </c>
      <c r="C29" s="46" t="s">
        <v>342</v>
      </c>
      <c r="D29" s="48" t="s">
        <v>343</v>
      </c>
      <c r="E29" s="49" t="s">
        <v>344</v>
      </c>
      <c r="F29" s="50">
        <f t="shared" si="0"/>
        <v>1</v>
      </c>
      <c r="G29" s="50">
        <f t="shared" si="1"/>
        <v>1</v>
      </c>
      <c r="H29" s="45">
        <v>688</v>
      </c>
      <c r="I29" s="45">
        <v>205</v>
      </c>
      <c r="J29" s="45">
        <v>8</v>
      </c>
      <c r="K29" s="45">
        <v>2</v>
      </c>
      <c r="L29" s="45">
        <v>85.1</v>
      </c>
      <c r="M29" s="45">
        <v>102</v>
      </c>
      <c r="N29" s="45">
        <v>0.27900000000000003</v>
      </c>
      <c r="O29" s="45">
        <v>0.186</v>
      </c>
      <c r="P29" s="45">
        <v>0.92159999999999997</v>
      </c>
      <c r="Q29" s="45">
        <v>0.90210000000000001</v>
      </c>
      <c r="R29" s="45">
        <v>0.55300000000000005</v>
      </c>
      <c r="S29" s="45">
        <v>0.54300000000000004</v>
      </c>
      <c r="T29" s="45">
        <v>1</v>
      </c>
      <c r="U29" s="45">
        <v>0.4</v>
      </c>
      <c r="V29" s="45">
        <v>13.08</v>
      </c>
      <c r="W29" s="45">
        <v>14.63</v>
      </c>
      <c r="X29" s="45">
        <v>0</v>
      </c>
      <c r="Y29" s="45">
        <v>0</v>
      </c>
      <c r="Z29" s="45">
        <v>0</v>
      </c>
      <c r="AA29" s="45">
        <v>0</v>
      </c>
      <c r="AB29" s="50" t="str">
        <f t="shared" si="2"/>
        <v>V2</v>
      </c>
      <c r="AC29" s="50" t="str">
        <f t="shared" si="3"/>
        <v>V2</v>
      </c>
      <c r="AD29" s="47" t="s">
        <v>252</v>
      </c>
    </row>
    <row r="30" spans="1:30" ht="42" customHeight="1">
      <c r="A30" s="45" t="s">
        <v>345</v>
      </c>
      <c r="B30" s="46" t="s">
        <v>346</v>
      </c>
      <c r="C30" s="46" t="s">
        <v>347</v>
      </c>
      <c r="D30" s="48" t="s">
        <v>348</v>
      </c>
      <c r="E30" s="49" t="s">
        <v>349</v>
      </c>
      <c r="F30" s="50">
        <f t="shared" si="0"/>
        <v>1</v>
      </c>
      <c r="G30" s="50">
        <f t="shared" si="1"/>
        <v>1</v>
      </c>
      <c r="H30" s="45">
        <v>265</v>
      </c>
      <c r="I30" s="45">
        <v>156</v>
      </c>
      <c r="J30" s="45">
        <v>3</v>
      </c>
      <c r="K30" s="45">
        <v>2</v>
      </c>
      <c r="L30" s="45">
        <v>87.7</v>
      </c>
      <c r="M30" s="45">
        <v>77.5</v>
      </c>
      <c r="N30" s="45">
        <v>0.17299999999999999</v>
      </c>
      <c r="O30" s="45">
        <v>3.2000000000000001E-2</v>
      </c>
      <c r="P30" s="45">
        <v>0.91049999999999998</v>
      </c>
      <c r="Q30" s="45">
        <v>0.94589999999999996</v>
      </c>
      <c r="R30" s="45">
        <v>0.71799999999999997</v>
      </c>
      <c r="S30" s="45">
        <v>0.68500000000000005</v>
      </c>
      <c r="T30" s="45">
        <v>0.8</v>
      </c>
      <c r="U30" s="45">
        <v>0.2</v>
      </c>
      <c r="V30" s="45">
        <v>3.77</v>
      </c>
      <c r="W30" s="45">
        <v>0</v>
      </c>
      <c r="X30" s="45">
        <v>0</v>
      </c>
      <c r="Y30" s="45">
        <v>0</v>
      </c>
      <c r="Z30" s="45">
        <v>1</v>
      </c>
      <c r="AA30" s="45">
        <v>0</v>
      </c>
      <c r="AB30" s="50" t="str">
        <f t="shared" si="2"/>
        <v>V2</v>
      </c>
      <c r="AC30" s="50" t="str">
        <f t="shared" si="3"/>
        <v>V2</v>
      </c>
      <c r="AD30" s="47" t="s">
        <v>208</v>
      </c>
    </row>
    <row r="31" spans="1:30" ht="42" customHeight="1">
      <c r="A31" s="45" t="s">
        <v>350</v>
      </c>
      <c r="B31" s="46" t="s">
        <v>351</v>
      </c>
      <c r="C31" s="46" t="s">
        <v>352</v>
      </c>
      <c r="D31" s="48" t="s">
        <v>353</v>
      </c>
      <c r="E31" s="49" t="s">
        <v>354</v>
      </c>
      <c r="F31" s="50">
        <f t="shared" si="0"/>
        <v>1</v>
      </c>
      <c r="G31" s="50">
        <f t="shared" si="1"/>
        <v>1</v>
      </c>
      <c r="H31" s="45">
        <v>594</v>
      </c>
      <c r="I31" s="45">
        <v>107</v>
      </c>
      <c r="J31" s="45">
        <v>5</v>
      </c>
      <c r="K31" s="45">
        <v>1</v>
      </c>
      <c r="L31" s="45">
        <v>118</v>
      </c>
      <c r="M31" s="45">
        <v>107</v>
      </c>
      <c r="N31" s="45">
        <v>0.40100000000000002</v>
      </c>
      <c r="O31" s="45">
        <v>0</v>
      </c>
      <c r="P31" s="45">
        <v>0.9385</v>
      </c>
      <c r="Q31" s="45">
        <v>1</v>
      </c>
      <c r="R31" s="45">
        <v>0.57599999999999996</v>
      </c>
      <c r="S31" s="45">
        <v>0</v>
      </c>
      <c r="T31" s="45">
        <v>1</v>
      </c>
      <c r="U31" s="45">
        <v>0.5</v>
      </c>
      <c r="V31" s="45">
        <v>5.05</v>
      </c>
      <c r="W31" s="45">
        <v>9.35</v>
      </c>
      <c r="X31" s="45">
        <v>0</v>
      </c>
      <c r="Y31" s="45">
        <v>0</v>
      </c>
      <c r="Z31" s="45">
        <v>0</v>
      </c>
      <c r="AA31" s="45">
        <v>0</v>
      </c>
      <c r="AB31" s="50" t="str">
        <f t="shared" si="2"/>
        <v>V2</v>
      </c>
      <c r="AC31" s="50" t="str">
        <f t="shared" si="3"/>
        <v>V2</v>
      </c>
      <c r="AD31" s="47" t="s">
        <v>355</v>
      </c>
    </row>
    <row r="32" spans="1:30" ht="42" customHeight="1">
      <c r="A32" s="45" t="s">
        <v>356</v>
      </c>
      <c r="B32" s="46" t="s">
        <v>357</v>
      </c>
      <c r="C32" s="46" t="s">
        <v>358</v>
      </c>
      <c r="D32" s="48" t="s">
        <v>359</v>
      </c>
      <c r="E32" s="49"/>
      <c r="F32" s="50">
        <f t="shared" si="0"/>
        <v>1</v>
      </c>
      <c r="G32" s="50">
        <f t="shared" si="1"/>
        <v>0</v>
      </c>
      <c r="H32" s="45">
        <v>653</v>
      </c>
      <c r="I32" s="45">
        <v>0</v>
      </c>
      <c r="J32" s="45">
        <v>8</v>
      </c>
      <c r="K32" s="45">
        <v>0</v>
      </c>
      <c r="L32" s="45">
        <v>80.8</v>
      </c>
      <c r="M32" s="45">
        <v>0</v>
      </c>
      <c r="N32" s="45">
        <v>0.40899999999999997</v>
      </c>
      <c r="O32" s="45">
        <v>0</v>
      </c>
      <c r="P32" s="45">
        <v>0.9224</v>
      </c>
      <c r="Q32" s="45">
        <v>0</v>
      </c>
      <c r="R32" s="45">
        <v>0.20899999999999999</v>
      </c>
      <c r="S32" s="45">
        <v>0</v>
      </c>
      <c r="T32" s="45">
        <v>1</v>
      </c>
      <c r="U32" s="45">
        <v>0</v>
      </c>
      <c r="V32" s="45">
        <v>4.59</v>
      </c>
      <c r="W32" s="45">
        <v>0</v>
      </c>
      <c r="X32" s="45">
        <v>95</v>
      </c>
      <c r="Y32" s="45">
        <v>0</v>
      </c>
      <c r="Z32" s="45">
        <v>0</v>
      </c>
      <c r="AA32" s="45">
        <v>0</v>
      </c>
      <c r="AB32" s="50" t="str">
        <f t="shared" si="2"/>
        <v>비교불가</v>
      </c>
      <c r="AC32" s="50" t="str">
        <f t="shared" si="3"/>
        <v>비교불가</v>
      </c>
      <c r="AD32" s="47" t="s">
        <v>281</v>
      </c>
    </row>
    <row r="33" spans="1:30" ht="42" customHeight="1">
      <c r="A33" s="45" t="s">
        <v>360</v>
      </c>
      <c r="B33" s="46" t="s">
        <v>361</v>
      </c>
      <c r="C33" s="46" t="s">
        <v>362</v>
      </c>
      <c r="D33" s="48" t="s">
        <v>363</v>
      </c>
      <c r="E33" s="49" t="s">
        <v>364</v>
      </c>
      <c r="F33" s="50">
        <f t="shared" si="0"/>
        <v>1</v>
      </c>
      <c r="G33" s="50">
        <f t="shared" si="1"/>
        <v>1</v>
      </c>
      <c r="H33" s="45">
        <v>543</v>
      </c>
      <c r="I33" s="45">
        <v>97</v>
      </c>
      <c r="J33" s="45">
        <v>6</v>
      </c>
      <c r="K33" s="45">
        <v>1</v>
      </c>
      <c r="L33" s="45">
        <v>89.7</v>
      </c>
      <c r="M33" s="45">
        <v>97</v>
      </c>
      <c r="N33" s="45">
        <v>0.18</v>
      </c>
      <c r="O33" s="45">
        <v>0</v>
      </c>
      <c r="P33" s="45">
        <v>0.93869999999999998</v>
      </c>
      <c r="Q33" s="45">
        <v>0.95830000000000004</v>
      </c>
      <c r="R33" s="45">
        <v>0.63900000000000001</v>
      </c>
      <c r="S33" s="45">
        <v>0.73099999999999998</v>
      </c>
      <c r="T33" s="45">
        <v>0.75</v>
      </c>
      <c r="U33" s="45">
        <v>0.25</v>
      </c>
      <c r="V33" s="45">
        <v>5.52</v>
      </c>
      <c r="W33" s="45">
        <v>10.31</v>
      </c>
      <c r="X33" s="45">
        <v>0</v>
      </c>
      <c r="Y33" s="45">
        <v>0</v>
      </c>
      <c r="Z33" s="45">
        <v>0</v>
      </c>
      <c r="AA33" s="45">
        <v>0</v>
      </c>
      <c r="AB33" s="50" t="str">
        <f t="shared" si="2"/>
        <v>V3</v>
      </c>
      <c r="AC33" s="50" t="str">
        <f t="shared" si="3"/>
        <v>V2</v>
      </c>
      <c r="AD33" s="47" t="s">
        <v>252</v>
      </c>
    </row>
    <row r="34" spans="1:30" ht="42" customHeight="1">
      <c r="A34" s="45" t="s">
        <v>365</v>
      </c>
      <c r="B34" s="46" t="s">
        <v>366</v>
      </c>
      <c r="C34" s="46" t="s">
        <v>367</v>
      </c>
      <c r="D34" s="48"/>
      <c r="E34" s="49" t="s">
        <v>368</v>
      </c>
      <c r="F34" s="50">
        <f t="shared" ref="F34:F65" si="4">IF(LEN(D34)&gt;0,1,0)</f>
        <v>0</v>
      </c>
      <c r="G34" s="50">
        <f t="shared" ref="G34:G65" si="5">IF(LEN(E34)&gt;0,1,0)</f>
        <v>1</v>
      </c>
      <c r="H34" s="45">
        <v>0</v>
      </c>
      <c r="I34" s="45">
        <v>284</v>
      </c>
      <c r="J34" s="45">
        <v>0</v>
      </c>
      <c r="K34" s="45">
        <v>3</v>
      </c>
      <c r="L34" s="45">
        <v>0</v>
      </c>
      <c r="M34" s="45">
        <v>94</v>
      </c>
      <c r="N34" s="45">
        <v>0</v>
      </c>
      <c r="O34" s="45">
        <v>8.3000000000000004E-2</v>
      </c>
      <c r="P34" s="45">
        <v>0</v>
      </c>
      <c r="Q34" s="45">
        <v>0.94699999999999995</v>
      </c>
      <c r="R34" s="45">
        <v>0</v>
      </c>
      <c r="S34" s="45">
        <v>0.95599999999999996</v>
      </c>
      <c r="T34" s="45">
        <v>0</v>
      </c>
      <c r="U34" s="45">
        <v>0.5</v>
      </c>
      <c r="V34" s="45">
        <v>0</v>
      </c>
      <c r="W34" s="45">
        <v>3.52</v>
      </c>
      <c r="X34" s="45">
        <v>0</v>
      </c>
      <c r="Y34" s="45">
        <v>0</v>
      </c>
      <c r="Z34" s="45">
        <v>1</v>
      </c>
      <c r="AA34" s="45">
        <v>0</v>
      </c>
      <c r="AB34" s="50" t="str">
        <f t="shared" ref="AB34:AB65" si="6">IF(AND($F34=1,$G34=1),IF(R34&gt;S34,"V2",IF(S34&gt;R34,"V3","동률")),"비교불가")</f>
        <v>비교불가</v>
      </c>
      <c r="AC34" s="50" t="str">
        <f t="shared" ref="AC34:AC65" si="7">IF(AND($F34=1,$G34=1),IF(T34&gt;U34,"V2",IF(U34&gt;T34,"V3","동률")),"비교불가")</f>
        <v>비교불가</v>
      </c>
      <c r="AD34" s="47" t="s">
        <v>208</v>
      </c>
    </row>
    <row r="35" spans="1:30" ht="42" customHeight="1">
      <c r="A35" s="45" t="s">
        <v>369</v>
      </c>
      <c r="B35" s="46" t="s">
        <v>370</v>
      </c>
      <c r="C35" s="46" t="s">
        <v>371</v>
      </c>
      <c r="D35" s="48" t="s">
        <v>372</v>
      </c>
      <c r="E35" s="49" t="s">
        <v>373</v>
      </c>
      <c r="F35" s="50">
        <f t="shared" si="4"/>
        <v>1</v>
      </c>
      <c r="G35" s="50">
        <f t="shared" si="5"/>
        <v>1</v>
      </c>
      <c r="H35" s="45">
        <v>639</v>
      </c>
      <c r="I35" s="45">
        <v>166</v>
      </c>
      <c r="J35" s="45">
        <v>6</v>
      </c>
      <c r="K35" s="45">
        <v>2</v>
      </c>
      <c r="L35" s="45">
        <v>105.7</v>
      </c>
      <c r="M35" s="45">
        <v>82.5</v>
      </c>
      <c r="N35" s="45">
        <v>0.19900000000000001</v>
      </c>
      <c r="O35" s="45">
        <v>0.115</v>
      </c>
      <c r="P35" s="45">
        <v>0.94440000000000002</v>
      </c>
      <c r="Q35" s="45">
        <v>0.9375</v>
      </c>
      <c r="R35" s="45">
        <v>0.34799999999999998</v>
      </c>
      <c r="S35" s="45">
        <v>0.61499999999999999</v>
      </c>
      <c r="T35" s="45">
        <v>1</v>
      </c>
      <c r="U35" s="45">
        <v>0.75</v>
      </c>
      <c r="V35" s="45">
        <v>4.6900000000000004</v>
      </c>
      <c r="W35" s="45">
        <v>0</v>
      </c>
      <c r="X35" s="45">
        <v>0</v>
      </c>
      <c r="Y35" s="45">
        <v>0</v>
      </c>
      <c r="Z35" s="45">
        <v>1</v>
      </c>
      <c r="AA35" s="45">
        <v>0</v>
      </c>
      <c r="AB35" s="50" t="str">
        <f t="shared" si="6"/>
        <v>V3</v>
      </c>
      <c r="AC35" s="50" t="str">
        <f t="shared" si="7"/>
        <v>V2</v>
      </c>
      <c r="AD35" s="47" t="s">
        <v>230</v>
      </c>
    </row>
    <row r="36" spans="1:30" ht="42" customHeight="1">
      <c r="A36" s="45" t="s">
        <v>374</v>
      </c>
      <c r="B36" s="46" t="s">
        <v>375</v>
      </c>
      <c r="C36" s="46" t="s">
        <v>376</v>
      </c>
      <c r="D36" s="48" t="s">
        <v>377</v>
      </c>
      <c r="E36" s="49" t="s">
        <v>378</v>
      </c>
      <c r="F36" s="50">
        <f t="shared" si="4"/>
        <v>1</v>
      </c>
      <c r="G36" s="50">
        <f t="shared" si="5"/>
        <v>1</v>
      </c>
      <c r="H36" s="45">
        <v>716</v>
      </c>
      <c r="I36" s="45">
        <v>129</v>
      </c>
      <c r="J36" s="45">
        <v>9</v>
      </c>
      <c r="K36" s="45">
        <v>2</v>
      </c>
      <c r="L36" s="45">
        <v>78.7</v>
      </c>
      <c r="M36" s="45">
        <v>64</v>
      </c>
      <c r="N36" s="45">
        <v>0.40500000000000003</v>
      </c>
      <c r="O36" s="45">
        <v>9.4E-2</v>
      </c>
      <c r="P36" s="45">
        <v>0.96819999999999995</v>
      </c>
      <c r="Q36" s="45">
        <v>0.92</v>
      </c>
      <c r="R36" s="45">
        <v>0.35399999999999998</v>
      </c>
      <c r="S36" s="45">
        <v>0.70499999999999996</v>
      </c>
      <c r="T36" s="45">
        <v>1</v>
      </c>
      <c r="U36" s="45">
        <v>0.75</v>
      </c>
      <c r="V36" s="45">
        <v>8.3800000000000008</v>
      </c>
      <c r="W36" s="45">
        <v>0</v>
      </c>
      <c r="X36" s="45">
        <v>50</v>
      </c>
      <c r="Y36" s="45">
        <v>0</v>
      </c>
      <c r="Z36" s="45">
        <v>0</v>
      </c>
      <c r="AA36" s="45">
        <v>0</v>
      </c>
      <c r="AB36" s="50" t="str">
        <f t="shared" si="6"/>
        <v>V3</v>
      </c>
      <c r="AC36" s="50" t="str">
        <f t="shared" si="7"/>
        <v>V2</v>
      </c>
      <c r="AD36" s="47" t="s">
        <v>225</v>
      </c>
    </row>
    <row r="37" spans="1:30" ht="42" customHeight="1">
      <c r="A37" s="45" t="s">
        <v>379</v>
      </c>
      <c r="B37" s="46" t="s">
        <v>380</v>
      </c>
      <c r="C37" s="46" t="s">
        <v>381</v>
      </c>
      <c r="D37" s="48" t="s">
        <v>382</v>
      </c>
      <c r="E37" s="49" t="s">
        <v>383</v>
      </c>
      <c r="F37" s="50">
        <f t="shared" si="4"/>
        <v>1</v>
      </c>
      <c r="G37" s="50">
        <f t="shared" si="5"/>
        <v>1</v>
      </c>
      <c r="H37" s="45">
        <v>281</v>
      </c>
      <c r="I37" s="45">
        <v>123</v>
      </c>
      <c r="J37" s="45">
        <v>3</v>
      </c>
      <c r="K37" s="45">
        <v>1</v>
      </c>
      <c r="L37" s="45">
        <v>93</v>
      </c>
      <c r="M37" s="45">
        <v>123</v>
      </c>
      <c r="N37" s="45">
        <v>0.15</v>
      </c>
      <c r="O37" s="45">
        <v>0</v>
      </c>
      <c r="P37" s="45">
        <v>0.91210000000000002</v>
      </c>
      <c r="Q37" s="45">
        <v>0.9667</v>
      </c>
      <c r="R37" s="45">
        <v>0.42599999999999999</v>
      </c>
      <c r="S37" s="45">
        <v>0.75900000000000001</v>
      </c>
      <c r="T37" s="45">
        <v>0.5</v>
      </c>
      <c r="U37" s="45">
        <v>0.5</v>
      </c>
      <c r="V37" s="45">
        <v>14.23</v>
      </c>
      <c r="W37" s="45">
        <v>0</v>
      </c>
      <c r="X37" s="45">
        <v>0</v>
      </c>
      <c r="Y37" s="45">
        <v>0</v>
      </c>
      <c r="Z37" s="45">
        <v>1</v>
      </c>
      <c r="AA37" s="45">
        <v>0</v>
      </c>
      <c r="AB37" s="50" t="str">
        <f t="shared" si="6"/>
        <v>V3</v>
      </c>
      <c r="AC37" s="50" t="str">
        <f t="shared" si="7"/>
        <v>동률</v>
      </c>
      <c r="AD37" s="47" t="s">
        <v>208</v>
      </c>
    </row>
    <row r="38" spans="1:30" ht="42" customHeight="1">
      <c r="A38" s="45" t="s">
        <v>384</v>
      </c>
      <c r="B38" s="46" t="s">
        <v>385</v>
      </c>
      <c r="C38" s="46" t="s">
        <v>386</v>
      </c>
      <c r="D38" s="48"/>
      <c r="E38" s="49"/>
      <c r="F38" s="50">
        <f t="shared" si="4"/>
        <v>0</v>
      </c>
      <c r="G38" s="50">
        <f t="shared" si="5"/>
        <v>0</v>
      </c>
      <c r="H38" s="45">
        <v>0</v>
      </c>
      <c r="I38" s="45">
        <v>0</v>
      </c>
      <c r="J38" s="45">
        <v>0</v>
      </c>
      <c r="K38" s="45">
        <v>0</v>
      </c>
      <c r="L38" s="45">
        <v>0</v>
      </c>
      <c r="M38" s="45">
        <v>0</v>
      </c>
      <c r="N38" s="45">
        <v>0</v>
      </c>
      <c r="O38" s="45">
        <v>0</v>
      </c>
      <c r="P38" s="45">
        <v>0</v>
      </c>
      <c r="Q38" s="45">
        <v>0</v>
      </c>
      <c r="R38" s="45">
        <v>0</v>
      </c>
      <c r="S38" s="45">
        <v>0</v>
      </c>
      <c r="T38" s="45">
        <v>0</v>
      </c>
      <c r="U38" s="45">
        <v>0</v>
      </c>
      <c r="V38" s="45">
        <v>0</v>
      </c>
      <c r="W38" s="45">
        <v>0</v>
      </c>
      <c r="X38" s="45">
        <v>0</v>
      </c>
      <c r="Y38" s="45">
        <v>0</v>
      </c>
      <c r="Z38" s="45">
        <v>0</v>
      </c>
      <c r="AA38" s="45">
        <v>0</v>
      </c>
      <c r="AB38" s="50" t="str">
        <f t="shared" si="6"/>
        <v>비교불가</v>
      </c>
      <c r="AC38" s="50" t="str">
        <f t="shared" si="7"/>
        <v>비교불가</v>
      </c>
      <c r="AD38" s="47" t="s">
        <v>387</v>
      </c>
    </row>
    <row r="39" spans="1:30" ht="42" customHeight="1">
      <c r="A39" s="45" t="s">
        <v>388</v>
      </c>
      <c r="B39" s="46" t="s">
        <v>389</v>
      </c>
      <c r="C39" s="46" t="s">
        <v>390</v>
      </c>
      <c r="D39" s="48" t="s">
        <v>391</v>
      </c>
      <c r="E39" s="49" t="s">
        <v>392</v>
      </c>
      <c r="F39" s="50">
        <f t="shared" si="4"/>
        <v>1</v>
      </c>
      <c r="G39" s="50">
        <f t="shared" si="5"/>
        <v>1</v>
      </c>
      <c r="H39" s="45">
        <v>549</v>
      </c>
      <c r="I39" s="45">
        <v>237</v>
      </c>
      <c r="J39" s="45">
        <v>6</v>
      </c>
      <c r="K39" s="45">
        <v>2</v>
      </c>
      <c r="L39" s="45">
        <v>90.7</v>
      </c>
      <c r="M39" s="45">
        <v>118</v>
      </c>
      <c r="N39" s="45">
        <v>0.28699999999999998</v>
      </c>
      <c r="O39" s="45">
        <v>0.153</v>
      </c>
      <c r="P39" s="45">
        <v>0.96279999999999999</v>
      </c>
      <c r="Q39" s="45">
        <v>0.95750000000000002</v>
      </c>
      <c r="R39" s="45">
        <v>0.41799999999999998</v>
      </c>
      <c r="S39" s="45">
        <v>0.71199999999999997</v>
      </c>
      <c r="T39" s="45">
        <v>1</v>
      </c>
      <c r="U39" s="45">
        <v>1</v>
      </c>
      <c r="V39" s="45">
        <v>5.46</v>
      </c>
      <c r="W39" s="45">
        <v>8.44</v>
      </c>
      <c r="X39" s="45">
        <v>0</v>
      </c>
      <c r="Y39" s="45">
        <v>0</v>
      </c>
      <c r="Z39" s="45">
        <v>1</v>
      </c>
      <c r="AA39" s="45">
        <v>0</v>
      </c>
      <c r="AB39" s="50" t="str">
        <f t="shared" si="6"/>
        <v>V3</v>
      </c>
      <c r="AC39" s="50" t="str">
        <f t="shared" si="7"/>
        <v>동률</v>
      </c>
      <c r="AD39" s="47" t="s">
        <v>208</v>
      </c>
    </row>
    <row r="40" spans="1:30" ht="42" customHeight="1">
      <c r="A40" s="45" t="s">
        <v>393</v>
      </c>
      <c r="B40" s="46" t="s">
        <v>394</v>
      </c>
      <c r="C40" s="46" t="s">
        <v>395</v>
      </c>
      <c r="D40" s="48" t="s">
        <v>396</v>
      </c>
      <c r="E40" s="51" t="s">
        <v>397</v>
      </c>
      <c r="F40" s="50">
        <f t="shared" si="4"/>
        <v>1</v>
      </c>
      <c r="G40" s="50">
        <f t="shared" si="5"/>
        <v>1</v>
      </c>
      <c r="H40" s="45">
        <v>584</v>
      </c>
      <c r="I40" s="45">
        <v>196</v>
      </c>
      <c r="J40" s="45">
        <v>7</v>
      </c>
      <c r="K40" s="45">
        <v>2</v>
      </c>
      <c r="L40" s="45">
        <v>82.6</v>
      </c>
      <c r="M40" s="45">
        <v>97.5</v>
      </c>
      <c r="N40" s="45">
        <v>0.224</v>
      </c>
      <c r="O40" s="45">
        <v>0.251</v>
      </c>
      <c r="P40" s="45">
        <v>0.92610000000000003</v>
      </c>
      <c r="Q40" s="45">
        <v>0.86109999999999998</v>
      </c>
      <c r="R40" s="45">
        <v>0.193</v>
      </c>
      <c r="S40" s="45">
        <v>0.55100000000000005</v>
      </c>
      <c r="T40" s="45">
        <v>0.6</v>
      </c>
      <c r="U40" s="45">
        <v>0.2</v>
      </c>
      <c r="V40" s="45">
        <v>1.71</v>
      </c>
      <c r="W40" s="45">
        <v>0</v>
      </c>
      <c r="X40" s="45">
        <v>97</v>
      </c>
      <c r="Y40" s="45">
        <v>16</v>
      </c>
      <c r="Z40" s="45">
        <v>0</v>
      </c>
      <c r="AA40" s="45">
        <v>0</v>
      </c>
      <c r="AB40" s="50" t="str">
        <f t="shared" si="6"/>
        <v>V3</v>
      </c>
      <c r="AC40" s="50" t="str">
        <f t="shared" si="7"/>
        <v>V2</v>
      </c>
      <c r="AD40" s="47" t="s">
        <v>398</v>
      </c>
    </row>
    <row r="41" spans="1:30" ht="42" customHeight="1">
      <c r="A41" s="45" t="s">
        <v>399</v>
      </c>
      <c r="B41" s="46" t="s">
        <v>400</v>
      </c>
      <c r="C41" s="46" t="s">
        <v>401</v>
      </c>
      <c r="D41" s="48" t="s">
        <v>402</v>
      </c>
      <c r="E41" s="49" t="s">
        <v>403</v>
      </c>
      <c r="F41" s="50">
        <f t="shared" si="4"/>
        <v>1</v>
      </c>
      <c r="G41" s="50">
        <f t="shared" si="5"/>
        <v>1</v>
      </c>
      <c r="H41" s="45">
        <v>746</v>
      </c>
      <c r="I41" s="45">
        <v>326</v>
      </c>
      <c r="J41" s="45">
        <v>6</v>
      </c>
      <c r="K41" s="45">
        <v>3</v>
      </c>
      <c r="L41" s="45">
        <v>123.5</v>
      </c>
      <c r="M41" s="45">
        <v>108</v>
      </c>
      <c r="N41" s="45">
        <v>0.20100000000000001</v>
      </c>
      <c r="O41" s="45">
        <v>6.8000000000000005E-2</v>
      </c>
      <c r="P41" s="45">
        <v>0.9476</v>
      </c>
      <c r="Q41" s="45">
        <v>0.93620000000000003</v>
      </c>
      <c r="R41" s="45">
        <v>0.38900000000000001</v>
      </c>
      <c r="S41" s="45">
        <v>0.68799999999999994</v>
      </c>
      <c r="T41" s="45">
        <v>1</v>
      </c>
      <c r="U41" s="45">
        <v>1</v>
      </c>
      <c r="V41" s="45">
        <v>12.06</v>
      </c>
      <c r="W41" s="45">
        <v>0</v>
      </c>
      <c r="X41" s="45">
        <v>0</v>
      </c>
      <c r="Y41" s="45">
        <v>0</v>
      </c>
      <c r="Z41" s="45">
        <v>1</v>
      </c>
      <c r="AA41" s="45">
        <v>0</v>
      </c>
      <c r="AB41" s="50" t="str">
        <f t="shared" si="6"/>
        <v>V3</v>
      </c>
      <c r="AC41" s="50" t="str">
        <f t="shared" si="7"/>
        <v>동률</v>
      </c>
      <c r="AD41" s="47" t="s">
        <v>208</v>
      </c>
    </row>
    <row r="42" spans="1:30" ht="42" customHeight="1">
      <c r="A42" s="45" t="s">
        <v>404</v>
      </c>
      <c r="B42" s="46" t="s">
        <v>405</v>
      </c>
      <c r="C42" s="46" t="s">
        <v>406</v>
      </c>
      <c r="D42" s="52" t="s">
        <v>407</v>
      </c>
      <c r="E42" s="49" t="s">
        <v>408</v>
      </c>
      <c r="F42" s="50">
        <f t="shared" si="4"/>
        <v>1</v>
      </c>
      <c r="G42" s="50">
        <f t="shared" si="5"/>
        <v>1</v>
      </c>
      <c r="H42" s="45">
        <v>408</v>
      </c>
      <c r="I42" s="45">
        <v>179</v>
      </c>
      <c r="J42" s="45">
        <v>4</v>
      </c>
      <c r="K42" s="45">
        <v>2</v>
      </c>
      <c r="L42" s="45">
        <v>101.2</v>
      </c>
      <c r="M42" s="45">
        <v>89</v>
      </c>
      <c r="N42" s="45">
        <v>0.19900000000000001</v>
      </c>
      <c r="O42" s="45">
        <v>0.32600000000000001</v>
      </c>
      <c r="P42" s="45">
        <v>0.93320000000000003</v>
      </c>
      <c r="Q42" s="45">
        <v>0.85</v>
      </c>
      <c r="R42" s="45">
        <v>0.52900000000000003</v>
      </c>
      <c r="S42" s="45">
        <v>0.65900000000000003</v>
      </c>
      <c r="T42" s="45">
        <v>1</v>
      </c>
      <c r="U42" s="45">
        <v>0.75</v>
      </c>
      <c r="V42" s="45">
        <v>4.9000000000000004</v>
      </c>
      <c r="W42" s="45">
        <v>0</v>
      </c>
      <c r="X42" s="45">
        <v>0</v>
      </c>
      <c r="Y42" s="45">
        <v>0</v>
      </c>
      <c r="Z42" s="45">
        <v>1</v>
      </c>
      <c r="AA42" s="45">
        <v>0</v>
      </c>
      <c r="AB42" s="50" t="str">
        <f t="shared" si="6"/>
        <v>V3</v>
      </c>
      <c r="AC42" s="50" t="str">
        <f t="shared" si="7"/>
        <v>V2</v>
      </c>
      <c r="AD42" s="47" t="s">
        <v>208</v>
      </c>
    </row>
    <row r="43" spans="1:30" ht="42" customHeight="1">
      <c r="A43" s="45" t="s">
        <v>409</v>
      </c>
      <c r="B43" s="46" t="s">
        <v>410</v>
      </c>
      <c r="C43" s="46" t="s">
        <v>411</v>
      </c>
      <c r="D43" s="48" t="s">
        <v>412</v>
      </c>
      <c r="E43" s="49" t="s">
        <v>413</v>
      </c>
      <c r="F43" s="50">
        <f t="shared" si="4"/>
        <v>1</v>
      </c>
      <c r="G43" s="50">
        <f t="shared" si="5"/>
        <v>1</v>
      </c>
      <c r="H43" s="45">
        <v>664</v>
      </c>
      <c r="I43" s="45">
        <v>390</v>
      </c>
      <c r="J43" s="45">
        <v>7</v>
      </c>
      <c r="K43" s="45">
        <v>3</v>
      </c>
      <c r="L43" s="45">
        <v>94</v>
      </c>
      <c r="M43" s="45">
        <v>129.30000000000001</v>
      </c>
      <c r="N43" s="45">
        <v>0.23100000000000001</v>
      </c>
      <c r="O43" s="45">
        <v>0.17699999999999999</v>
      </c>
      <c r="P43" s="45">
        <v>0.96899999999999997</v>
      </c>
      <c r="Q43" s="45">
        <v>0.98550000000000004</v>
      </c>
      <c r="R43" s="45">
        <v>0.61299999999999999</v>
      </c>
      <c r="S43" s="45">
        <v>0.72899999999999998</v>
      </c>
      <c r="T43" s="45">
        <v>1</v>
      </c>
      <c r="U43" s="45">
        <v>1</v>
      </c>
      <c r="V43" s="45">
        <v>4.5199999999999996</v>
      </c>
      <c r="W43" s="45">
        <v>5.13</v>
      </c>
      <c r="X43" s="45">
        <v>1</v>
      </c>
      <c r="Y43" s="45">
        <v>1</v>
      </c>
      <c r="Z43" s="45">
        <v>1</v>
      </c>
      <c r="AA43" s="45">
        <v>0</v>
      </c>
      <c r="AB43" s="50" t="str">
        <f t="shared" si="6"/>
        <v>V3</v>
      </c>
      <c r="AC43" s="50" t="str">
        <f t="shared" si="7"/>
        <v>동률</v>
      </c>
      <c r="AD43" s="47" t="s">
        <v>208</v>
      </c>
    </row>
    <row r="44" spans="1:30" ht="42" customHeight="1">
      <c r="A44" s="45" t="s">
        <v>414</v>
      </c>
      <c r="B44" s="46" t="s">
        <v>415</v>
      </c>
      <c r="C44" s="46" t="s">
        <v>416</v>
      </c>
      <c r="D44" s="48" t="s">
        <v>417</v>
      </c>
      <c r="E44" s="51"/>
      <c r="F44" s="50">
        <f t="shared" si="4"/>
        <v>1</v>
      </c>
      <c r="G44" s="50">
        <f t="shared" si="5"/>
        <v>0</v>
      </c>
      <c r="H44" s="45">
        <v>501</v>
      </c>
      <c r="I44" s="45">
        <v>0</v>
      </c>
      <c r="J44" s="45">
        <v>5</v>
      </c>
      <c r="K44" s="45">
        <v>0</v>
      </c>
      <c r="L44" s="45">
        <v>99.4</v>
      </c>
      <c r="M44" s="45">
        <v>0</v>
      </c>
      <c r="N44" s="45">
        <v>0.14799999999999999</v>
      </c>
      <c r="O44" s="45">
        <v>0</v>
      </c>
      <c r="P44" s="45">
        <v>0.92559999999999998</v>
      </c>
      <c r="Q44" s="45">
        <v>0</v>
      </c>
      <c r="R44" s="45">
        <v>0.622</v>
      </c>
      <c r="S44" s="45">
        <v>0</v>
      </c>
      <c r="T44" s="45">
        <v>0.75</v>
      </c>
      <c r="U44" s="45">
        <v>0</v>
      </c>
      <c r="V44" s="45">
        <v>3.99</v>
      </c>
      <c r="W44" s="45">
        <v>0</v>
      </c>
      <c r="X44" s="45">
        <v>0</v>
      </c>
      <c r="Y44" s="45">
        <v>0</v>
      </c>
      <c r="Z44" s="45">
        <v>0</v>
      </c>
      <c r="AA44" s="45">
        <v>0</v>
      </c>
      <c r="AB44" s="50" t="str">
        <f t="shared" si="6"/>
        <v>비교불가</v>
      </c>
      <c r="AC44" s="50" t="str">
        <f t="shared" si="7"/>
        <v>비교불가</v>
      </c>
      <c r="AD44" s="47" t="s">
        <v>256</v>
      </c>
    </row>
    <row r="45" spans="1:30" ht="42" customHeight="1">
      <c r="A45" s="45" t="s">
        <v>418</v>
      </c>
      <c r="B45" s="46" t="s">
        <v>419</v>
      </c>
      <c r="C45" s="46" t="s">
        <v>420</v>
      </c>
      <c r="D45" s="48" t="s">
        <v>421</v>
      </c>
      <c r="E45" s="49" t="s">
        <v>422</v>
      </c>
      <c r="F45" s="50">
        <f t="shared" si="4"/>
        <v>1</v>
      </c>
      <c r="G45" s="50">
        <f t="shared" si="5"/>
        <v>1</v>
      </c>
      <c r="H45" s="45">
        <v>718</v>
      </c>
      <c r="I45" s="45">
        <v>294</v>
      </c>
      <c r="J45" s="45">
        <v>7</v>
      </c>
      <c r="K45" s="45">
        <v>3</v>
      </c>
      <c r="L45" s="45">
        <v>101.7</v>
      </c>
      <c r="M45" s="45">
        <v>97.3</v>
      </c>
      <c r="N45" s="45">
        <v>0.32500000000000001</v>
      </c>
      <c r="O45" s="45">
        <v>0.41099999999999998</v>
      </c>
      <c r="P45" s="45">
        <v>0.95689999999999997</v>
      </c>
      <c r="Q45" s="45">
        <v>0.97499999999999998</v>
      </c>
      <c r="R45" s="45">
        <v>0.41399999999999998</v>
      </c>
      <c r="S45" s="45">
        <v>0.60699999999999998</v>
      </c>
      <c r="T45" s="45">
        <v>1</v>
      </c>
      <c r="U45" s="45">
        <v>0.75</v>
      </c>
      <c r="V45" s="45">
        <v>6.96</v>
      </c>
      <c r="W45" s="45">
        <v>0</v>
      </c>
      <c r="X45" s="45">
        <v>12</v>
      </c>
      <c r="Y45" s="45">
        <v>12</v>
      </c>
      <c r="Z45" s="45">
        <v>1</v>
      </c>
      <c r="AA45" s="45">
        <v>1</v>
      </c>
      <c r="AB45" s="50" t="str">
        <f t="shared" si="6"/>
        <v>V3</v>
      </c>
      <c r="AC45" s="50" t="str">
        <f t="shared" si="7"/>
        <v>V2</v>
      </c>
      <c r="AD45" s="47" t="s">
        <v>423</v>
      </c>
    </row>
    <row r="46" spans="1:30" ht="42" customHeight="1">
      <c r="A46" s="45" t="s">
        <v>424</v>
      </c>
      <c r="B46" s="46" t="s">
        <v>425</v>
      </c>
      <c r="C46" s="46" t="s">
        <v>426</v>
      </c>
      <c r="D46" s="48" t="s">
        <v>427</v>
      </c>
      <c r="E46" s="49" t="s">
        <v>428</v>
      </c>
      <c r="F46" s="50">
        <f t="shared" si="4"/>
        <v>1</v>
      </c>
      <c r="G46" s="50">
        <f t="shared" si="5"/>
        <v>1</v>
      </c>
      <c r="H46" s="45">
        <v>121</v>
      </c>
      <c r="I46" s="45">
        <v>120</v>
      </c>
      <c r="J46" s="45">
        <v>2</v>
      </c>
      <c r="K46" s="45">
        <v>1</v>
      </c>
      <c r="L46" s="45">
        <v>60</v>
      </c>
      <c r="M46" s="45">
        <v>120</v>
      </c>
      <c r="N46" s="45">
        <v>8.3000000000000004E-2</v>
      </c>
      <c r="O46" s="45">
        <v>0</v>
      </c>
      <c r="P46" s="45">
        <v>0.96150000000000002</v>
      </c>
      <c r="Q46" s="45">
        <v>0.96550000000000002</v>
      </c>
      <c r="R46" s="45">
        <v>0.64400000000000002</v>
      </c>
      <c r="S46" s="45">
        <v>0.49399999999999999</v>
      </c>
      <c r="T46" s="45">
        <v>0.4</v>
      </c>
      <c r="U46" s="45">
        <v>0.6</v>
      </c>
      <c r="V46" s="45">
        <v>8.26</v>
      </c>
      <c r="W46" s="45">
        <v>0</v>
      </c>
      <c r="X46" s="45">
        <v>0</v>
      </c>
      <c r="Y46" s="45">
        <v>0</v>
      </c>
      <c r="Z46" s="45">
        <v>1</v>
      </c>
      <c r="AA46" s="45">
        <v>0</v>
      </c>
      <c r="AB46" s="50" t="str">
        <f t="shared" si="6"/>
        <v>V2</v>
      </c>
      <c r="AC46" s="50" t="str">
        <f t="shared" si="7"/>
        <v>V3</v>
      </c>
      <c r="AD46" s="47" t="s">
        <v>208</v>
      </c>
    </row>
    <row r="47" spans="1:30" ht="42" customHeight="1">
      <c r="A47" s="45" t="s">
        <v>429</v>
      </c>
      <c r="B47" s="46" t="s">
        <v>430</v>
      </c>
      <c r="C47" s="46" t="s">
        <v>431</v>
      </c>
      <c r="D47" s="48" t="s">
        <v>432</v>
      </c>
      <c r="E47" s="49" t="s">
        <v>433</v>
      </c>
      <c r="F47" s="50">
        <f t="shared" si="4"/>
        <v>1</v>
      </c>
      <c r="G47" s="50">
        <f t="shared" si="5"/>
        <v>1</v>
      </c>
      <c r="H47" s="45">
        <v>633</v>
      </c>
      <c r="I47" s="45">
        <v>159</v>
      </c>
      <c r="J47" s="45">
        <v>7</v>
      </c>
      <c r="K47" s="45">
        <v>2</v>
      </c>
      <c r="L47" s="45">
        <v>89.6</v>
      </c>
      <c r="M47" s="45">
        <v>79</v>
      </c>
      <c r="N47" s="45">
        <v>0.27100000000000002</v>
      </c>
      <c r="O47" s="45">
        <v>0.49399999999999999</v>
      </c>
      <c r="P47" s="45">
        <v>0.92689999999999995</v>
      </c>
      <c r="Q47" s="45">
        <v>0.91180000000000005</v>
      </c>
      <c r="R47" s="45">
        <v>0.222</v>
      </c>
      <c r="S47" s="45">
        <v>0.55000000000000004</v>
      </c>
      <c r="T47" s="45">
        <v>1</v>
      </c>
      <c r="U47" s="45">
        <v>0.75</v>
      </c>
      <c r="V47" s="45">
        <v>6.32</v>
      </c>
      <c r="W47" s="45">
        <v>0</v>
      </c>
      <c r="X47" s="45">
        <v>16</v>
      </c>
      <c r="Y47" s="45">
        <v>12</v>
      </c>
      <c r="Z47" s="45">
        <v>0</v>
      </c>
      <c r="AA47" s="45">
        <v>0</v>
      </c>
      <c r="AB47" s="50" t="str">
        <f t="shared" si="6"/>
        <v>V3</v>
      </c>
      <c r="AC47" s="50" t="str">
        <f t="shared" si="7"/>
        <v>V2</v>
      </c>
      <c r="AD47" s="47" t="s">
        <v>355</v>
      </c>
    </row>
    <row r="48" spans="1:30" ht="42" customHeight="1">
      <c r="A48" s="45" t="s">
        <v>434</v>
      </c>
      <c r="B48" s="46" t="s">
        <v>435</v>
      </c>
      <c r="C48" s="46" t="s">
        <v>436</v>
      </c>
      <c r="D48" s="48" t="s">
        <v>437</v>
      </c>
      <c r="E48" s="49" t="s">
        <v>438</v>
      </c>
      <c r="F48" s="50">
        <f t="shared" si="4"/>
        <v>1</v>
      </c>
      <c r="G48" s="50">
        <f t="shared" si="5"/>
        <v>1</v>
      </c>
      <c r="H48" s="45">
        <v>586</v>
      </c>
      <c r="I48" s="45">
        <v>215</v>
      </c>
      <c r="J48" s="45">
        <v>6</v>
      </c>
      <c r="K48" s="45">
        <v>3</v>
      </c>
      <c r="L48" s="45">
        <v>96.8</v>
      </c>
      <c r="M48" s="45">
        <v>71</v>
      </c>
      <c r="N48" s="45">
        <v>0.20399999999999999</v>
      </c>
      <c r="O48" s="45">
        <v>0.50600000000000001</v>
      </c>
      <c r="P48" s="45">
        <v>0.92710000000000004</v>
      </c>
      <c r="Q48" s="45">
        <v>0.92</v>
      </c>
      <c r="R48" s="45">
        <v>0.24099999999999999</v>
      </c>
      <c r="S48" s="45">
        <v>0.46200000000000002</v>
      </c>
      <c r="T48" s="45">
        <v>1</v>
      </c>
      <c r="U48" s="45">
        <v>0.66700000000000004</v>
      </c>
      <c r="V48" s="45">
        <v>3.41</v>
      </c>
      <c r="W48" s="45">
        <v>0</v>
      </c>
      <c r="X48" s="45">
        <v>77</v>
      </c>
      <c r="Y48" s="45">
        <v>8</v>
      </c>
      <c r="Z48" s="45">
        <v>0</v>
      </c>
      <c r="AA48" s="45">
        <v>0</v>
      </c>
      <c r="AB48" s="50" t="str">
        <f t="shared" si="6"/>
        <v>V3</v>
      </c>
      <c r="AC48" s="50" t="str">
        <f t="shared" si="7"/>
        <v>V2</v>
      </c>
      <c r="AD48" s="47" t="s">
        <v>225</v>
      </c>
    </row>
    <row r="49" spans="1:30" ht="42" customHeight="1">
      <c r="A49" s="45" t="s">
        <v>439</v>
      </c>
      <c r="B49" s="46" t="s">
        <v>440</v>
      </c>
      <c r="C49" s="46" t="s">
        <v>441</v>
      </c>
      <c r="D49" s="48" t="s">
        <v>442</v>
      </c>
      <c r="E49" s="49" t="s">
        <v>443</v>
      </c>
      <c r="F49" s="50">
        <f t="shared" si="4"/>
        <v>1</v>
      </c>
      <c r="G49" s="50">
        <f t="shared" si="5"/>
        <v>1</v>
      </c>
      <c r="H49" s="45">
        <v>723</v>
      </c>
      <c r="I49" s="45">
        <v>303</v>
      </c>
      <c r="J49" s="45">
        <v>8</v>
      </c>
      <c r="K49" s="45">
        <v>3</v>
      </c>
      <c r="L49" s="45">
        <v>89.5</v>
      </c>
      <c r="M49" s="45">
        <v>100.3</v>
      </c>
      <c r="N49" s="45">
        <v>0.19400000000000001</v>
      </c>
      <c r="O49" s="45">
        <v>0.35899999999999999</v>
      </c>
      <c r="P49" s="45">
        <v>0.94350000000000001</v>
      </c>
      <c r="Q49" s="45">
        <v>0.89449999999999996</v>
      </c>
      <c r="R49" s="45">
        <v>0.371</v>
      </c>
      <c r="S49" s="45">
        <v>0.53</v>
      </c>
      <c r="T49" s="45">
        <v>0.8</v>
      </c>
      <c r="U49" s="45">
        <v>0.6</v>
      </c>
      <c r="V49" s="45">
        <v>4.1500000000000004</v>
      </c>
      <c r="W49" s="45">
        <v>0</v>
      </c>
      <c r="X49" s="45">
        <v>16</v>
      </c>
      <c r="Y49" s="45">
        <v>16</v>
      </c>
      <c r="Z49" s="45">
        <v>1</v>
      </c>
      <c r="AA49" s="45">
        <v>0</v>
      </c>
      <c r="AB49" s="50" t="str">
        <f t="shared" si="6"/>
        <v>V3</v>
      </c>
      <c r="AC49" s="50" t="str">
        <f t="shared" si="7"/>
        <v>V2</v>
      </c>
      <c r="AD49" s="47" t="s">
        <v>423</v>
      </c>
    </row>
    <row r="50" spans="1:30" ht="42" customHeight="1">
      <c r="A50" s="45" t="s">
        <v>444</v>
      </c>
      <c r="B50" s="46" t="s">
        <v>445</v>
      </c>
      <c r="C50" s="46" t="s">
        <v>446</v>
      </c>
      <c r="D50" s="52"/>
      <c r="E50" s="49" t="s">
        <v>447</v>
      </c>
      <c r="F50" s="50">
        <f t="shared" si="4"/>
        <v>0</v>
      </c>
      <c r="G50" s="50">
        <f t="shared" si="5"/>
        <v>1</v>
      </c>
      <c r="H50" s="45">
        <v>0</v>
      </c>
      <c r="I50" s="45">
        <v>196</v>
      </c>
      <c r="J50" s="45">
        <v>0</v>
      </c>
      <c r="K50" s="45">
        <v>3</v>
      </c>
      <c r="L50" s="45">
        <v>0</v>
      </c>
      <c r="M50" s="45">
        <v>64.7</v>
      </c>
      <c r="N50" s="45">
        <v>0</v>
      </c>
      <c r="O50" s="45">
        <v>0.245</v>
      </c>
      <c r="P50" s="45">
        <v>0</v>
      </c>
      <c r="Q50" s="45">
        <v>0.82220000000000004</v>
      </c>
      <c r="R50" s="45">
        <v>0</v>
      </c>
      <c r="S50" s="45">
        <v>0.36</v>
      </c>
      <c r="T50" s="45">
        <v>0</v>
      </c>
      <c r="U50" s="45">
        <v>0.8</v>
      </c>
      <c r="V50" s="45">
        <v>0</v>
      </c>
      <c r="W50" s="45">
        <v>0</v>
      </c>
      <c r="X50" s="45">
        <v>0</v>
      </c>
      <c r="Y50" s="45">
        <v>0</v>
      </c>
      <c r="Z50" s="45">
        <v>0</v>
      </c>
      <c r="AA50" s="45">
        <v>0</v>
      </c>
      <c r="AB50" s="50" t="str">
        <f t="shared" si="6"/>
        <v>비교불가</v>
      </c>
      <c r="AC50" s="50" t="str">
        <f t="shared" si="7"/>
        <v>비교불가</v>
      </c>
      <c r="AD50" s="47" t="s">
        <v>236</v>
      </c>
    </row>
    <row r="51" spans="1:30" ht="42" customHeight="1">
      <c r="A51" s="45" t="s">
        <v>448</v>
      </c>
      <c r="B51" s="46" t="s">
        <v>449</v>
      </c>
      <c r="C51" s="46" t="s">
        <v>450</v>
      </c>
      <c r="D51" s="48" t="s">
        <v>451</v>
      </c>
      <c r="E51" s="49" t="s">
        <v>452</v>
      </c>
      <c r="F51" s="50">
        <f t="shared" si="4"/>
        <v>1</v>
      </c>
      <c r="G51" s="50">
        <f t="shared" si="5"/>
        <v>1</v>
      </c>
      <c r="H51" s="45">
        <v>461</v>
      </c>
      <c r="I51" s="45">
        <v>279</v>
      </c>
      <c r="J51" s="45">
        <v>5</v>
      </c>
      <c r="K51" s="45">
        <v>3</v>
      </c>
      <c r="L51" s="45">
        <v>91.4</v>
      </c>
      <c r="M51" s="45">
        <v>92.3</v>
      </c>
      <c r="N51" s="45">
        <v>0.26800000000000002</v>
      </c>
      <c r="O51" s="45">
        <v>0.252</v>
      </c>
      <c r="P51" s="45">
        <v>0.88300000000000001</v>
      </c>
      <c r="Q51" s="45">
        <v>0.9052</v>
      </c>
      <c r="R51" s="45">
        <v>0.38900000000000001</v>
      </c>
      <c r="S51" s="45">
        <v>0.54500000000000004</v>
      </c>
      <c r="T51" s="45">
        <v>0.8</v>
      </c>
      <c r="U51" s="45">
        <v>0.8</v>
      </c>
      <c r="V51" s="45">
        <v>2.17</v>
      </c>
      <c r="W51" s="45">
        <v>7.17</v>
      </c>
      <c r="X51" s="45">
        <v>0</v>
      </c>
      <c r="Y51" s="45">
        <v>0</v>
      </c>
      <c r="Z51" s="45">
        <v>0</v>
      </c>
      <c r="AA51" s="45">
        <v>0</v>
      </c>
      <c r="AB51" s="50" t="str">
        <f t="shared" si="6"/>
        <v>V3</v>
      </c>
      <c r="AC51" s="50" t="str">
        <f t="shared" si="7"/>
        <v>동률</v>
      </c>
      <c r="AD51" s="47" t="s">
        <v>453</v>
      </c>
    </row>
    <row r="52" spans="1:30" ht="42" customHeight="1">
      <c r="A52" s="45" t="s">
        <v>454</v>
      </c>
      <c r="B52" s="46" t="s">
        <v>455</v>
      </c>
      <c r="C52" s="46" t="s">
        <v>456</v>
      </c>
      <c r="D52" s="48" t="s">
        <v>457</v>
      </c>
      <c r="E52" s="51"/>
      <c r="F52" s="50">
        <f t="shared" si="4"/>
        <v>1</v>
      </c>
      <c r="G52" s="50">
        <f t="shared" si="5"/>
        <v>0</v>
      </c>
      <c r="H52" s="45">
        <v>429</v>
      </c>
      <c r="I52" s="45">
        <v>0</v>
      </c>
      <c r="J52" s="45">
        <v>5</v>
      </c>
      <c r="K52" s="45">
        <v>0</v>
      </c>
      <c r="L52" s="45">
        <v>85</v>
      </c>
      <c r="M52" s="45">
        <v>0</v>
      </c>
      <c r="N52" s="45">
        <v>0.30099999999999999</v>
      </c>
      <c r="O52" s="45">
        <v>0</v>
      </c>
      <c r="P52" s="45">
        <v>0.89259999999999995</v>
      </c>
      <c r="Q52" s="45">
        <v>0</v>
      </c>
      <c r="R52" s="45">
        <v>0.35199999999999998</v>
      </c>
      <c r="S52" s="45">
        <v>0</v>
      </c>
      <c r="T52" s="45">
        <v>0.4</v>
      </c>
      <c r="U52" s="45">
        <v>0</v>
      </c>
      <c r="V52" s="45">
        <v>2.33</v>
      </c>
      <c r="W52" s="45">
        <v>0</v>
      </c>
      <c r="X52" s="45">
        <v>16</v>
      </c>
      <c r="Y52" s="45">
        <v>0</v>
      </c>
      <c r="Z52" s="45">
        <v>0</v>
      </c>
      <c r="AA52" s="45">
        <v>0</v>
      </c>
      <c r="AB52" s="50" t="str">
        <f t="shared" si="6"/>
        <v>비교불가</v>
      </c>
      <c r="AC52" s="50" t="str">
        <f t="shared" si="7"/>
        <v>비교불가</v>
      </c>
      <c r="AD52" s="47" t="s">
        <v>458</v>
      </c>
    </row>
    <row r="53" spans="1:30" ht="42" customHeight="1">
      <c r="A53" s="45" t="s">
        <v>459</v>
      </c>
      <c r="B53" s="46" t="s">
        <v>460</v>
      </c>
      <c r="C53" s="46" t="s">
        <v>461</v>
      </c>
      <c r="D53" s="48" t="s">
        <v>462</v>
      </c>
      <c r="E53" s="49" t="s">
        <v>463</v>
      </c>
      <c r="F53" s="50">
        <f t="shared" si="4"/>
        <v>1</v>
      </c>
      <c r="G53" s="50">
        <f t="shared" si="5"/>
        <v>1</v>
      </c>
      <c r="H53" s="45">
        <v>569</v>
      </c>
      <c r="I53" s="45">
        <v>137</v>
      </c>
      <c r="J53" s="45">
        <v>6</v>
      </c>
      <c r="K53" s="45">
        <v>1</v>
      </c>
      <c r="L53" s="45">
        <v>94</v>
      </c>
      <c r="M53" s="45">
        <v>137</v>
      </c>
      <c r="N53" s="45">
        <v>0.251</v>
      </c>
      <c r="O53" s="45">
        <v>0</v>
      </c>
      <c r="P53" s="45">
        <v>0.94450000000000001</v>
      </c>
      <c r="Q53" s="45">
        <v>0.97140000000000004</v>
      </c>
      <c r="R53" s="45">
        <v>0.23300000000000001</v>
      </c>
      <c r="S53" s="45">
        <v>0.51100000000000001</v>
      </c>
      <c r="T53" s="45">
        <v>1</v>
      </c>
      <c r="U53" s="45">
        <v>0.4</v>
      </c>
      <c r="V53" s="45">
        <v>8.7899999999999991</v>
      </c>
      <c r="W53" s="45">
        <v>7.3</v>
      </c>
      <c r="X53" s="45">
        <v>0</v>
      </c>
      <c r="Y53" s="45">
        <v>0</v>
      </c>
      <c r="Z53" s="45">
        <v>0</v>
      </c>
      <c r="AA53" s="45">
        <v>0</v>
      </c>
      <c r="AB53" s="50" t="str">
        <f t="shared" si="6"/>
        <v>V3</v>
      </c>
      <c r="AC53" s="50" t="str">
        <f t="shared" si="7"/>
        <v>V2</v>
      </c>
      <c r="AD53" s="47" t="s">
        <v>464</v>
      </c>
    </row>
    <row r="54" spans="1:30" ht="42" customHeight="1">
      <c r="A54" s="45" t="s">
        <v>465</v>
      </c>
      <c r="B54" s="46" t="s">
        <v>466</v>
      </c>
      <c r="C54" s="46" t="s">
        <v>467</v>
      </c>
      <c r="D54" s="48" t="s">
        <v>468</v>
      </c>
      <c r="E54" s="49" t="s">
        <v>469</v>
      </c>
      <c r="F54" s="50">
        <f t="shared" si="4"/>
        <v>1</v>
      </c>
      <c r="G54" s="50">
        <f t="shared" si="5"/>
        <v>1</v>
      </c>
      <c r="H54" s="45">
        <v>398</v>
      </c>
      <c r="I54" s="45">
        <v>234</v>
      </c>
      <c r="J54" s="45">
        <v>5</v>
      </c>
      <c r="K54" s="45">
        <v>2</v>
      </c>
      <c r="L54" s="45">
        <v>78.8</v>
      </c>
      <c r="M54" s="45">
        <v>116.5</v>
      </c>
      <c r="N54" s="45">
        <v>0.26300000000000001</v>
      </c>
      <c r="O54" s="45">
        <v>0.11600000000000001</v>
      </c>
      <c r="P54" s="45">
        <v>0.92090000000000005</v>
      </c>
      <c r="Q54" s="45">
        <v>0.94530000000000003</v>
      </c>
      <c r="R54" s="45">
        <v>0.52900000000000003</v>
      </c>
      <c r="S54" s="45">
        <v>0.51900000000000002</v>
      </c>
      <c r="T54" s="45">
        <v>0.8</v>
      </c>
      <c r="U54" s="45">
        <v>0.8</v>
      </c>
      <c r="V54" s="45">
        <v>7.54</v>
      </c>
      <c r="W54" s="45">
        <v>0</v>
      </c>
      <c r="X54" s="45">
        <v>0</v>
      </c>
      <c r="Y54" s="45">
        <v>0</v>
      </c>
      <c r="Z54" s="45">
        <v>0</v>
      </c>
      <c r="AA54" s="45">
        <v>0</v>
      </c>
      <c r="AB54" s="50" t="str">
        <f t="shared" si="6"/>
        <v>V2</v>
      </c>
      <c r="AC54" s="50" t="str">
        <f t="shared" si="7"/>
        <v>동률</v>
      </c>
      <c r="AD54" s="47" t="s">
        <v>267</v>
      </c>
    </row>
    <row r="55" spans="1:30" ht="42" customHeight="1">
      <c r="A55" s="45" t="s">
        <v>470</v>
      </c>
      <c r="B55" s="46" t="s">
        <v>471</v>
      </c>
      <c r="C55" s="46" t="s">
        <v>472</v>
      </c>
      <c r="D55" s="52"/>
      <c r="E55" s="51"/>
      <c r="F55" s="50">
        <f t="shared" si="4"/>
        <v>0</v>
      </c>
      <c r="G55" s="50">
        <f t="shared" si="5"/>
        <v>0</v>
      </c>
      <c r="H55" s="45">
        <v>0</v>
      </c>
      <c r="I55" s="45">
        <v>0</v>
      </c>
      <c r="J55" s="45">
        <v>0</v>
      </c>
      <c r="K55" s="45">
        <v>0</v>
      </c>
      <c r="L55" s="45">
        <v>0</v>
      </c>
      <c r="M55" s="45">
        <v>0</v>
      </c>
      <c r="N55" s="45">
        <v>0</v>
      </c>
      <c r="O55" s="45">
        <v>0</v>
      </c>
      <c r="P55" s="45">
        <v>0</v>
      </c>
      <c r="Q55" s="45">
        <v>0</v>
      </c>
      <c r="R55" s="45">
        <v>0</v>
      </c>
      <c r="S55" s="45">
        <v>0</v>
      </c>
      <c r="T55" s="45">
        <v>0</v>
      </c>
      <c r="U55" s="45">
        <v>0</v>
      </c>
      <c r="V55" s="45">
        <v>0</v>
      </c>
      <c r="W55" s="45">
        <v>0</v>
      </c>
      <c r="X55" s="45">
        <v>0</v>
      </c>
      <c r="Y55" s="45">
        <v>0</v>
      </c>
      <c r="Z55" s="45">
        <v>0</v>
      </c>
      <c r="AA55" s="45">
        <v>0</v>
      </c>
      <c r="AB55" s="50" t="str">
        <f t="shared" si="6"/>
        <v>비교불가</v>
      </c>
      <c r="AC55" s="50" t="str">
        <f t="shared" si="7"/>
        <v>비교불가</v>
      </c>
      <c r="AD55" s="47" t="s">
        <v>473</v>
      </c>
    </row>
    <row r="56" spans="1:30" ht="42" customHeight="1">
      <c r="A56" s="45" t="s">
        <v>474</v>
      </c>
      <c r="B56" s="46" t="s">
        <v>475</v>
      </c>
      <c r="C56" s="46" t="s">
        <v>476</v>
      </c>
      <c r="D56" s="48" t="s">
        <v>477</v>
      </c>
      <c r="E56" s="51"/>
      <c r="F56" s="50">
        <f t="shared" si="4"/>
        <v>1</v>
      </c>
      <c r="G56" s="50">
        <f t="shared" si="5"/>
        <v>0</v>
      </c>
      <c r="H56" s="45">
        <v>411</v>
      </c>
      <c r="I56" s="45">
        <v>0</v>
      </c>
      <c r="J56" s="45">
        <v>4</v>
      </c>
      <c r="K56" s="45">
        <v>0</v>
      </c>
      <c r="L56" s="45">
        <v>102</v>
      </c>
      <c r="M56" s="45">
        <v>0</v>
      </c>
      <c r="N56" s="45">
        <v>0.371</v>
      </c>
      <c r="O56" s="45">
        <v>0</v>
      </c>
      <c r="P56" s="45">
        <v>0.86280000000000001</v>
      </c>
      <c r="Q56" s="45">
        <v>0</v>
      </c>
      <c r="R56" s="45">
        <v>0.33700000000000002</v>
      </c>
      <c r="S56" s="45">
        <v>0</v>
      </c>
      <c r="T56" s="45">
        <v>0.4</v>
      </c>
      <c r="U56" s="45">
        <v>0</v>
      </c>
      <c r="V56" s="45">
        <v>2.4300000000000002</v>
      </c>
      <c r="W56" s="45">
        <v>0</v>
      </c>
      <c r="X56" s="45">
        <v>30</v>
      </c>
      <c r="Y56" s="45">
        <v>0</v>
      </c>
      <c r="Z56" s="45">
        <v>0</v>
      </c>
      <c r="AA56" s="45">
        <v>0</v>
      </c>
      <c r="AB56" s="50" t="str">
        <f t="shared" si="6"/>
        <v>비교불가</v>
      </c>
      <c r="AC56" s="50" t="str">
        <f t="shared" si="7"/>
        <v>비교불가</v>
      </c>
      <c r="AD56" s="47" t="s">
        <v>256</v>
      </c>
    </row>
    <row r="57" spans="1:30" ht="42" customHeight="1">
      <c r="A57" s="45" t="s">
        <v>478</v>
      </c>
      <c r="B57" s="46" t="s">
        <v>479</v>
      </c>
      <c r="C57" s="46" t="s">
        <v>480</v>
      </c>
      <c r="D57" s="48" t="s">
        <v>481</v>
      </c>
      <c r="E57" s="49" t="s">
        <v>482</v>
      </c>
      <c r="F57" s="50">
        <f t="shared" si="4"/>
        <v>1</v>
      </c>
      <c r="G57" s="50">
        <f t="shared" si="5"/>
        <v>1</v>
      </c>
      <c r="H57" s="45">
        <v>166</v>
      </c>
      <c r="I57" s="45">
        <v>139</v>
      </c>
      <c r="J57" s="45">
        <v>2</v>
      </c>
      <c r="K57" s="45">
        <v>2</v>
      </c>
      <c r="L57" s="45">
        <v>82.5</v>
      </c>
      <c r="M57" s="45">
        <v>69</v>
      </c>
      <c r="N57" s="45">
        <v>6.0000000000000001E-3</v>
      </c>
      <c r="O57" s="45">
        <v>0.17399999999999999</v>
      </c>
      <c r="P57" s="45">
        <v>0.97219999999999995</v>
      </c>
      <c r="Q57" s="45">
        <v>0.9355</v>
      </c>
      <c r="R57" s="45">
        <v>0.60799999999999998</v>
      </c>
      <c r="S57" s="45">
        <v>0.68300000000000005</v>
      </c>
      <c r="T57" s="45">
        <v>0.83299999999999996</v>
      </c>
      <c r="U57" s="45">
        <v>0.33300000000000002</v>
      </c>
      <c r="V57" s="45">
        <v>12.05</v>
      </c>
      <c r="W57" s="45">
        <v>14.39</v>
      </c>
      <c r="X57" s="45">
        <v>0</v>
      </c>
      <c r="Y57" s="45">
        <v>0</v>
      </c>
      <c r="Z57" s="45">
        <v>0</v>
      </c>
      <c r="AA57" s="45">
        <v>0</v>
      </c>
      <c r="AB57" s="50" t="str">
        <f t="shared" si="6"/>
        <v>V3</v>
      </c>
      <c r="AC57" s="50" t="str">
        <f t="shared" si="7"/>
        <v>V2</v>
      </c>
      <c r="AD57" s="47" t="s">
        <v>252</v>
      </c>
    </row>
    <row r="58" spans="1:30" ht="42" customHeight="1">
      <c r="A58" s="45" t="s">
        <v>483</v>
      </c>
      <c r="B58" s="46" t="s">
        <v>484</v>
      </c>
      <c r="C58" s="46" t="s">
        <v>485</v>
      </c>
      <c r="D58" s="52"/>
      <c r="E58" s="51"/>
      <c r="F58" s="50">
        <f t="shared" si="4"/>
        <v>0</v>
      </c>
      <c r="G58" s="50">
        <f t="shared" si="5"/>
        <v>0</v>
      </c>
      <c r="H58" s="45">
        <v>0</v>
      </c>
      <c r="I58" s="45">
        <v>0</v>
      </c>
      <c r="J58" s="45">
        <v>0</v>
      </c>
      <c r="K58" s="45">
        <v>0</v>
      </c>
      <c r="L58" s="45">
        <v>0</v>
      </c>
      <c r="M58" s="45">
        <v>0</v>
      </c>
      <c r="N58" s="45">
        <v>0</v>
      </c>
      <c r="O58" s="45">
        <v>0</v>
      </c>
      <c r="P58" s="45">
        <v>0</v>
      </c>
      <c r="Q58" s="45">
        <v>0</v>
      </c>
      <c r="R58" s="45">
        <v>0</v>
      </c>
      <c r="S58" s="45">
        <v>0</v>
      </c>
      <c r="T58" s="45">
        <v>0</v>
      </c>
      <c r="U58" s="45">
        <v>0</v>
      </c>
      <c r="V58" s="45">
        <v>0</v>
      </c>
      <c r="W58" s="45">
        <v>0</v>
      </c>
      <c r="X58" s="45">
        <v>0</v>
      </c>
      <c r="Y58" s="45">
        <v>0</v>
      </c>
      <c r="Z58" s="45">
        <v>0</v>
      </c>
      <c r="AA58" s="45">
        <v>0</v>
      </c>
      <c r="AB58" s="50" t="str">
        <f t="shared" si="6"/>
        <v>비교불가</v>
      </c>
      <c r="AC58" s="50" t="str">
        <f t="shared" si="7"/>
        <v>비교불가</v>
      </c>
      <c r="AD58" s="47" t="s">
        <v>256</v>
      </c>
    </row>
    <row r="59" spans="1:30" ht="42" customHeight="1">
      <c r="A59" s="45" t="s">
        <v>486</v>
      </c>
      <c r="B59" s="46" t="s">
        <v>487</v>
      </c>
      <c r="C59" s="46" t="s">
        <v>488</v>
      </c>
      <c r="D59" s="52"/>
      <c r="E59" s="51"/>
      <c r="F59" s="50">
        <f t="shared" si="4"/>
        <v>0</v>
      </c>
      <c r="G59" s="50">
        <f t="shared" si="5"/>
        <v>0</v>
      </c>
      <c r="H59" s="45">
        <v>0</v>
      </c>
      <c r="I59" s="45">
        <v>0</v>
      </c>
      <c r="J59" s="45">
        <v>0</v>
      </c>
      <c r="K59" s="45">
        <v>0</v>
      </c>
      <c r="L59" s="45">
        <v>0</v>
      </c>
      <c r="M59" s="45">
        <v>0</v>
      </c>
      <c r="N59" s="45">
        <v>0</v>
      </c>
      <c r="O59" s="45">
        <v>0</v>
      </c>
      <c r="P59" s="45">
        <v>0</v>
      </c>
      <c r="Q59" s="45">
        <v>0</v>
      </c>
      <c r="R59" s="45">
        <v>0</v>
      </c>
      <c r="S59" s="45">
        <v>0</v>
      </c>
      <c r="T59" s="45">
        <v>0</v>
      </c>
      <c r="U59" s="45">
        <v>0</v>
      </c>
      <c r="V59" s="45">
        <v>0</v>
      </c>
      <c r="W59" s="45">
        <v>0</v>
      </c>
      <c r="X59" s="45">
        <v>0</v>
      </c>
      <c r="Y59" s="45">
        <v>0</v>
      </c>
      <c r="Z59" s="45">
        <v>0</v>
      </c>
      <c r="AA59" s="45">
        <v>0</v>
      </c>
      <c r="AB59" s="50" t="str">
        <f t="shared" si="6"/>
        <v>비교불가</v>
      </c>
      <c r="AC59" s="50" t="str">
        <f t="shared" si="7"/>
        <v>비교불가</v>
      </c>
      <c r="AD59" s="47" t="s">
        <v>387</v>
      </c>
    </row>
    <row r="60" spans="1:30" ht="42" customHeight="1">
      <c r="A60" s="45" t="s">
        <v>489</v>
      </c>
      <c r="B60" s="46" t="s">
        <v>490</v>
      </c>
      <c r="C60" s="46" t="s">
        <v>491</v>
      </c>
      <c r="D60" s="52"/>
      <c r="E60" s="49" t="s">
        <v>492</v>
      </c>
      <c r="F60" s="50">
        <f t="shared" si="4"/>
        <v>0</v>
      </c>
      <c r="G60" s="50">
        <f t="shared" si="5"/>
        <v>1</v>
      </c>
      <c r="H60" s="45">
        <v>0</v>
      </c>
      <c r="I60" s="45">
        <v>91</v>
      </c>
      <c r="J60" s="45">
        <v>0</v>
      </c>
      <c r="K60" s="45">
        <v>1</v>
      </c>
      <c r="L60" s="45">
        <v>0</v>
      </c>
      <c r="M60" s="45">
        <v>91</v>
      </c>
      <c r="N60" s="45">
        <v>0</v>
      </c>
      <c r="O60" s="45">
        <v>0</v>
      </c>
      <c r="P60" s="45">
        <v>0</v>
      </c>
      <c r="Q60" s="45">
        <v>1</v>
      </c>
      <c r="R60" s="45">
        <v>0</v>
      </c>
      <c r="S60" s="45">
        <v>0</v>
      </c>
      <c r="T60" s="45">
        <v>0</v>
      </c>
      <c r="U60" s="45">
        <v>0.25</v>
      </c>
      <c r="V60" s="45">
        <v>0</v>
      </c>
      <c r="W60" s="45">
        <v>10.99</v>
      </c>
      <c r="X60" s="45">
        <v>0</v>
      </c>
      <c r="Y60" s="45">
        <v>4</v>
      </c>
      <c r="Z60" s="45">
        <v>1</v>
      </c>
      <c r="AA60" s="45">
        <v>1</v>
      </c>
      <c r="AB60" s="50" t="str">
        <f t="shared" si="6"/>
        <v>비교불가</v>
      </c>
      <c r="AC60" s="50" t="str">
        <f t="shared" si="7"/>
        <v>비교불가</v>
      </c>
      <c r="AD60" s="47" t="s">
        <v>219</v>
      </c>
    </row>
    <row r="61" spans="1:30" ht="42" customHeight="1">
      <c r="A61" s="45" t="s">
        <v>493</v>
      </c>
      <c r="B61" s="46" t="s">
        <v>494</v>
      </c>
      <c r="C61" s="46" t="s">
        <v>495</v>
      </c>
      <c r="D61" s="48" t="s">
        <v>496</v>
      </c>
      <c r="E61" s="49" t="s">
        <v>497</v>
      </c>
      <c r="F61" s="50">
        <f t="shared" si="4"/>
        <v>1</v>
      </c>
      <c r="G61" s="50">
        <f t="shared" si="5"/>
        <v>1</v>
      </c>
      <c r="H61" s="45">
        <v>637</v>
      </c>
      <c r="I61" s="45">
        <v>358</v>
      </c>
      <c r="J61" s="45">
        <v>6</v>
      </c>
      <c r="K61" s="45">
        <v>4</v>
      </c>
      <c r="L61" s="45">
        <v>105.3</v>
      </c>
      <c r="M61" s="45">
        <v>88.8</v>
      </c>
      <c r="N61" s="45">
        <v>0.26400000000000001</v>
      </c>
      <c r="O61" s="45">
        <v>0.13600000000000001</v>
      </c>
      <c r="P61" s="45">
        <v>0.94879999999999998</v>
      </c>
      <c r="Q61" s="45">
        <v>0.95</v>
      </c>
      <c r="R61" s="45">
        <v>0.46</v>
      </c>
      <c r="S61" s="45">
        <v>0.69299999999999995</v>
      </c>
      <c r="T61" s="45">
        <v>0.75</v>
      </c>
      <c r="U61" s="45">
        <v>0.25</v>
      </c>
      <c r="V61" s="45">
        <v>6.28</v>
      </c>
      <c r="W61" s="45">
        <v>2.79</v>
      </c>
      <c r="X61" s="45">
        <v>22</v>
      </c>
      <c r="Y61" s="45">
        <v>18</v>
      </c>
      <c r="Z61" s="45">
        <v>1</v>
      </c>
      <c r="AA61" s="45">
        <v>1</v>
      </c>
      <c r="AB61" s="50" t="str">
        <f t="shared" si="6"/>
        <v>V3</v>
      </c>
      <c r="AC61" s="50" t="str">
        <f t="shared" si="7"/>
        <v>V2</v>
      </c>
      <c r="AD61" s="47" t="s">
        <v>219</v>
      </c>
    </row>
    <row r="62" spans="1:30" ht="42" customHeight="1">
      <c r="A62" s="45" t="s">
        <v>498</v>
      </c>
      <c r="B62" s="46" t="s">
        <v>499</v>
      </c>
      <c r="C62" s="46" t="s">
        <v>500</v>
      </c>
      <c r="D62" s="52"/>
      <c r="E62" s="49" t="s">
        <v>501</v>
      </c>
      <c r="F62" s="50">
        <f t="shared" si="4"/>
        <v>0</v>
      </c>
      <c r="G62" s="50">
        <f t="shared" si="5"/>
        <v>1</v>
      </c>
      <c r="H62" s="45">
        <v>0</v>
      </c>
      <c r="I62" s="45">
        <v>389</v>
      </c>
      <c r="J62" s="45">
        <v>0</v>
      </c>
      <c r="K62" s="45">
        <v>3</v>
      </c>
      <c r="L62" s="45">
        <v>0</v>
      </c>
      <c r="M62" s="45">
        <v>129</v>
      </c>
      <c r="N62" s="45">
        <v>0</v>
      </c>
      <c r="O62" s="45">
        <v>0.23400000000000001</v>
      </c>
      <c r="P62" s="45">
        <v>0</v>
      </c>
      <c r="Q62" s="45">
        <v>0.88049999999999995</v>
      </c>
      <c r="R62" s="45">
        <v>0</v>
      </c>
      <c r="S62" s="45">
        <v>0.95499999999999996</v>
      </c>
      <c r="T62" s="45">
        <v>0</v>
      </c>
      <c r="U62" s="45">
        <v>0.5</v>
      </c>
      <c r="V62" s="45">
        <v>0</v>
      </c>
      <c r="W62" s="45">
        <v>2.57</v>
      </c>
      <c r="X62" s="45">
        <v>0</v>
      </c>
      <c r="Y62" s="45">
        <v>12</v>
      </c>
      <c r="Z62" s="45">
        <v>1</v>
      </c>
      <c r="AA62" s="45">
        <v>0</v>
      </c>
      <c r="AB62" s="50" t="str">
        <f t="shared" si="6"/>
        <v>비교불가</v>
      </c>
      <c r="AC62" s="50" t="str">
        <f t="shared" si="7"/>
        <v>비교불가</v>
      </c>
      <c r="AD62" s="47" t="s">
        <v>219</v>
      </c>
    </row>
    <row r="63" spans="1:30" ht="42" customHeight="1">
      <c r="A63" s="45" t="s">
        <v>502</v>
      </c>
      <c r="B63" s="46" t="s">
        <v>503</v>
      </c>
      <c r="C63" s="46" t="s">
        <v>504</v>
      </c>
      <c r="D63" s="48" t="s">
        <v>505</v>
      </c>
      <c r="E63" s="49" t="s">
        <v>506</v>
      </c>
      <c r="F63" s="50">
        <f t="shared" si="4"/>
        <v>1</v>
      </c>
      <c r="G63" s="50">
        <f t="shared" si="5"/>
        <v>1</v>
      </c>
      <c r="H63" s="45">
        <v>559</v>
      </c>
      <c r="I63" s="45">
        <v>115</v>
      </c>
      <c r="J63" s="45">
        <v>6</v>
      </c>
      <c r="K63" s="45">
        <v>2</v>
      </c>
      <c r="L63" s="45">
        <v>92.3</v>
      </c>
      <c r="M63" s="45">
        <v>57</v>
      </c>
      <c r="N63" s="45">
        <v>0.19400000000000001</v>
      </c>
      <c r="O63" s="45">
        <v>5.2999999999999999E-2</v>
      </c>
      <c r="P63" s="45">
        <v>0.96560000000000001</v>
      </c>
      <c r="Q63" s="45">
        <v>0.9355</v>
      </c>
      <c r="R63" s="45">
        <v>0.13900000000000001</v>
      </c>
      <c r="S63" s="45">
        <v>0.90800000000000003</v>
      </c>
      <c r="T63" s="45">
        <v>0.8</v>
      </c>
      <c r="U63" s="45">
        <v>0.2</v>
      </c>
      <c r="V63" s="45">
        <v>5.37</v>
      </c>
      <c r="W63" s="45">
        <v>0</v>
      </c>
      <c r="X63" s="45">
        <v>0</v>
      </c>
      <c r="Y63" s="45">
        <v>0</v>
      </c>
      <c r="Z63" s="45">
        <v>1</v>
      </c>
      <c r="AA63" s="45">
        <v>0</v>
      </c>
      <c r="AB63" s="50" t="str">
        <f t="shared" si="6"/>
        <v>V3</v>
      </c>
      <c r="AC63" s="50" t="str">
        <f t="shared" si="7"/>
        <v>V2</v>
      </c>
      <c r="AD63" s="47" t="s">
        <v>507</v>
      </c>
    </row>
    <row r="64" spans="1:30" ht="42" customHeight="1">
      <c r="A64" s="45" t="s">
        <v>508</v>
      </c>
      <c r="B64" s="46" t="s">
        <v>509</v>
      </c>
      <c r="C64" s="46" t="s">
        <v>510</v>
      </c>
      <c r="D64" s="48" t="s">
        <v>511</v>
      </c>
      <c r="E64" s="49" t="s">
        <v>512</v>
      </c>
      <c r="F64" s="50">
        <f t="shared" si="4"/>
        <v>1</v>
      </c>
      <c r="G64" s="50">
        <f t="shared" si="5"/>
        <v>1</v>
      </c>
      <c r="H64" s="45">
        <v>573</v>
      </c>
      <c r="I64" s="45">
        <v>140</v>
      </c>
      <c r="J64" s="45">
        <v>6</v>
      </c>
      <c r="K64" s="45">
        <v>2</v>
      </c>
      <c r="L64" s="45">
        <v>94.7</v>
      </c>
      <c r="M64" s="45">
        <v>69.5</v>
      </c>
      <c r="N64" s="45">
        <v>0.23899999999999999</v>
      </c>
      <c r="O64" s="45">
        <v>0.23699999999999999</v>
      </c>
      <c r="P64" s="45">
        <v>0.93020000000000003</v>
      </c>
      <c r="Q64" s="45">
        <v>0.94289999999999996</v>
      </c>
      <c r="R64" s="45">
        <v>0.35299999999999998</v>
      </c>
      <c r="S64" s="45">
        <v>0.46400000000000002</v>
      </c>
      <c r="T64" s="45">
        <v>0.66700000000000004</v>
      </c>
      <c r="U64" s="45">
        <v>0</v>
      </c>
      <c r="V64" s="45">
        <v>6.98</v>
      </c>
      <c r="W64" s="45">
        <v>0</v>
      </c>
      <c r="X64" s="45">
        <v>47</v>
      </c>
      <c r="Y64" s="45">
        <v>4</v>
      </c>
      <c r="Z64" s="45">
        <v>1</v>
      </c>
      <c r="AA64" s="45">
        <v>1</v>
      </c>
      <c r="AB64" s="50" t="str">
        <f t="shared" si="6"/>
        <v>V3</v>
      </c>
      <c r="AC64" s="50" t="str">
        <f t="shared" si="7"/>
        <v>V2</v>
      </c>
      <c r="AD64" s="47" t="s">
        <v>219</v>
      </c>
    </row>
    <row r="65" spans="1:30" ht="42" customHeight="1">
      <c r="A65" s="45" t="s">
        <v>513</v>
      </c>
      <c r="B65" s="46" t="s">
        <v>514</v>
      </c>
      <c r="C65" s="46" t="s">
        <v>515</v>
      </c>
      <c r="D65" s="52" t="s">
        <v>516</v>
      </c>
      <c r="E65" s="49" t="s">
        <v>517</v>
      </c>
      <c r="F65" s="50">
        <f t="shared" si="4"/>
        <v>1</v>
      </c>
      <c r="G65" s="50">
        <f t="shared" si="5"/>
        <v>1</v>
      </c>
      <c r="H65" s="45">
        <v>783</v>
      </c>
      <c r="I65" s="45">
        <v>341</v>
      </c>
      <c r="J65" s="45">
        <v>8</v>
      </c>
      <c r="K65" s="45">
        <v>3</v>
      </c>
      <c r="L65" s="45">
        <v>97</v>
      </c>
      <c r="M65" s="45">
        <v>113</v>
      </c>
      <c r="N65" s="45">
        <v>0.251</v>
      </c>
      <c r="O65" s="45">
        <v>0.33300000000000002</v>
      </c>
      <c r="P65" s="45">
        <v>0.95399999999999996</v>
      </c>
      <c r="Q65" s="45">
        <v>0.95489999999999997</v>
      </c>
      <c r="R65" s="45">
        <v>0.50900000000000001</v>
      </c>
      <c r="S65" s="45">
        <v>0.80600000000000005</v>
      </c>
      <c r="T65" s="45">
        <v>1</v>
      </c>
      <c r="U65" s="45">
        <v>1</v>
      </c>
      <c r="V65" s="45">
        <v>3.83</v>
      </c>
      <c r="W65" s="45">
        <v>5.87</v>
      </c>
      <c r="X65" s="45">
        <v>5</v>
      </c>
      <c r="Y65" s="45">
        <v>0</v>
      </c>
      <c r="Z65" s="45">
        <v>0</v>
      </c>
      <c r="AA65" s="45">
        <v>0</v>
      </c>
      <c r="AB65" s="50" t="str">
        <f t="shared" si="6"/>
        <v>V3</v>
      </c>
      <c r="AC65" s="50" t="str">
        <f t="shared" si="7"/>
        <v>동률</v>
      </c>
      <c r="AD65" s="47" t="s">
        <v>355</v>
      </c>
    </row>
    <row r="66" spans="1:30" ht="42" customHeight="1">
      <c r="A66" s="45" t="s">
        <v>518</v>
      </c>
      <c r="B66" s="46" t="s">
        <v>519</v>
      </c>
      <c r="C66" s="46" t="s">
        <v>520</v>
      </c>
      <c r="D66" s="52" t="s">
        <v>521</v>
      </c>
      <c r="E66" s="49" t="s">
        <v>522</v>
      </c>
      <c r="F66" s="50">
        <f t="shared" ref="F66:F96" si="8">IF(LEN(D66)&gt;0,1,0)</f>
        <v>1</v>
      </c>
      <c r="G66" s="50">
        <f t="shared" ref="G66:G96" si="9">IF(LEN(E66)&gt;0,1,0)</f>
        <v>1</v>
      </c>
      <c r="H66" s="45">
        <v>661</v>
      </c>
      <c r="I66" s="45">
        <v>193</v>
      </c>
      <c r="J66" s="45">
        <v>7</v>
      </c>
      <c r="K66" s="45">
        <v>2</v>
      </c>
      <c r="L66" s="45">
        <v>93.6</v>
      </c>
      <c r="M66" s="45">
        <v>96</v>
      </c>
      <c r="N66" s="45">
        <v>0.27100000000000002</v>
      </c>
      <c r="O66" s="45">
        <v>0.26</v>
      </c>
      <c r="P66" s="45">
        <v>0.94579999999999997</v>
      </c>
      <c r="Q66" s="45">
        <v>0.90680000000000005</v>
      </c>
      <c r="R66" s="45">
        <v>0.53400000000000003</v>
      </c>
      <c r="S66" s="45">
        <v>0.60899999999999999</v>
      </c>
      <c r="T66" s="45">
        <v>0.75</v>
      </c>
      <c r="U66" s="45">
        <v>0.75</v>
      </c>
      <c r="V66" s="45">
        <v>6.05</v>
      </c>
      <c r="W66" s="45">
        <v>0</v>
      </c>
      <c r="X66" s="45">
        <v>20</v>
      </c>
      <c r="Y66" s="45">
        <v>0</v>
      </c>
      <c r="Z66" s="45">
        <v>1</v>
      </c>
      <c r="AA66" s="45">
        <v>0</v>
      </c>
      <c r="AB66" s="50" t="str">
        <f t="shared" ref="AB66:AB96" si="10">IF(AND($F66=1,$G66=1),IF(R66&gt;S66,"V2",IF(S66&gt;R66,"V3","동률")),"비교불가")</f>
        <v>V3</v>
      </c>
      <c r="AC66" s="50" t="str">
        <f t="shared" ref="AC66:AC96" si="11">IF(AND($F66=1,$G66=1),IF(T66&gt;U66,"V2",IF(U66&gt;T66,"V3","동률")),"비교불가")</f>
        <v>동률</v>
      </c>
      <c r="AD66" s="47" t="s">
        <v>208</v>
      </c>
    </row>
    <row r="67" spans="1:30" ht="42" customHeight="1">
      <c r="A67" s="45" t="s">
        <v>523</v>
      </c>
      <c r="B67" s="46" t="s">
        <v>524</v>
      </c>
      <c r="C67" s="46" t="s">
        <v>525</v>
      </c>
      <c r="D67" s="48" t="s">
        <v>526</v>
      </c>
      <c r="E67" s="51"/>
      <c r="F67" s="50">
        <f t="shared" si="8"/>
        <v>1</v>
      </c>
      <c r="G67" s="50">
        <f t="shared" si="9"/>
        <v>0</v>
      </c>
      <c r="H67" s="45">
        <v>521</v>
      </c>
      <c r="I67" s="45">
        <v>0</v>
      </c>
      <c r="J67" s="45">
        <v>6</v>
      </c>
      <c r="K67" s="45">
        <v>0</v>
      </c>
      <c r="L67" s="45">
        <v>86</v>
      </c>
      <c r="M67" s="45">
        <v>0</v>
      </c>
      <c r="N67" s="45">
        <v>0.39700000000000002</v>
      </c>
      <c r="O67" s="45">
        <v>0</v>
      </c>
      <c r="P67" s="45">
        <v>0.91990000000000005</v>
      </c>
      <c r="Q67" s="45">
        <v>0</v>
      </c>
      <c r="R67" s="45">
        <v>0.48499999999999999</v>
      </c>
      <c r="S67" s="45">
        <v>0</v>
      </c>
      <c r="T67" s="45">
        <v>1</v>
      </c>
      <c r="U67" s="45">
        <v>0</v>
      </c>
      <c r="V67" s="45">
        <v>7.68</v>
      </c>
      <c r="W67" s="45">
        <v>0</v>
      </c>
      <c r="X67" s="45">
        <v>20</v>
      </c>
      <c r="Y67" s="45">
        <v>0</v>
      </c>
      <c r="Z67" s="45">
        <v>0</v>
      </c>
      <c r="AA67" s="45">
        <v>0</v>
      </c>
      <c r="AB67" s="50" t="str">
        <f t="shared" si="10"/>
        <v>비교불가</v>
      </c>
      <c r="AC67" s="50" t="str">
        <f t="shared" si="11"/>
        <v>비교불가</v>
      </c>
      <c r="AD67" s="47" t="s">
        <v>256</v>
      </c>
    </row>
    <row r="68" spans="1:30" ht="42" customHeight="1">
      <c r="A68" s="45" t="s">
        <v>527</v>
      </c>
      <c r="B68" s="46" t="s">
        <v>528</v>
      </c>
      <c r="C68" s="46" t="s">
        <v>529</v>
      </c>
      <c r="D68" s="48" t="s">
        <v>530</v>
      </c>
      <c r="E68" s="51"/>
      <c r="F68" s="50">
        <f t="shared" si="8"/>
        <v>1</v>
      </c>
      <c r="G68" s="50">
        <f t="shared" si="9"/>
        <v>0</v>
      </c>
      <c r="H68" s="45">
        <v>717</v>
      </c>
      <c r="I68" s="45">
        <v>0</v>
      </c>
      <c r="J68" s="45">
        <v>8</v>
      </c>
      <c r="K68" s="45">
        <v>0</v>
      </c>
      <c r="L68" s="45">
        <v>88.8</v>
      </c>
      <c r="M68" s="45">
        <v>0</v>
      </c>
      <c r="N68" s="45">
        <v>0.21199999999999999</v>
      </c>
      <c r="O68" s="45">
        <v>0</v>
      </c>
      <c r="P68" s="45">
        <v>0.93179999999999996</v>
      </c>
      <c r="Q68" s="45">
        <v>0</v>
      </c>
      <c r="R68" s="45">
        <v>0.54800000000000004</v>
      </c>
      <c r="S68" s="45">
        <v>0</v>
      </c>
      <c r="T68" s="45">
        <v>1</v>
      </c>
      <c r="U68" s="45">
        <v>0</v>
      </c>
      <c r="V68" s="45">
        <v>4.18</v>
      </c>
      <c r="W68" s="45">
        <v>0</v>
      </c>
      <c r="X68" s="45">
        <v>12</v>
      </c>
      <c r="Y68" s="45">
        <v>0</v>
      </c>
      <c r="Z68" s="45">
        <v>0</v>
      </c>
      <c r="AA68" s="45">
        <v>0</v>
      </c>
      <c r="AB68" s="50" t="str">
        <f t="shared" si="10"/>
        <v>비교불가</v>
      </c>
      <c r="AC68" s="50" t="str">
        <f t="shared" si="11"/>
        <v>비교불가</v>
      </c>
      <c r="AD68" s="47" t="s">
        <v>256</v>
      </c>
    </row>
    <row r="69" spans="1:30" ht="42" customHeight="1">
      <c r="A69" s="45" t="s">
        <v>531</v>
      </c>
      <c r="B69" s="46" t="s">
        <v>532</v>
      </c>
      <c r="C69" s="46" t="s">
        <v>533</v>
      </c>
      <c r="D69" s="48" t="s">
        <v>534</v>
      </c>
      <c r="E69" s="51"/>
      <c r="F69" s="50">
        <f t="shared" si="8"/>
        <v>1</v>
      </c>
      <c r="G69" s="50">
        <f t="shared" si="9"/>
        <v>0</v>
      </c>
      <c r="H69" s="45">
        <v>265</v>
      </c>
      <c r="I69" s="45">
        <v>0</v>
      </c>
      <c r="J69" s="45">
        <v>3</v>
      </c>
      <c r="K69" s="45">
        <v>0</v>
      </c>
      <c r="L69" s="45">
        <v>87.7</v>
      </c>
      <c r="M69" s="45">
        <v>0</v>
      </c>
      <c r="N69" s="45">
        <v>0.26500000000000001</v>
      </c>
      <c r="O69" s="45">
        <v>0</v>
      </c>
      <c r="P69" s="45">
        <v>0.89670000000000005</v>
      </c>
      <c r="Q69" s="45">
        <v>0</v>
      </c>
      <c r="R69" s="45">
        <v>0.45500000000000002</v>
      </c>
      <c r="S69" s="45">
        <v>0</v>
      </c>
      <c r="T69" s="45">
        <v>0.5</v>
      </c>
      <c r="U69" s="45">
        <v>0</v>
      </c>
      <c r="V69" s="45">
        <v>3.77</v>
      </c>
      <c r="W69" s="45">
        <v>0</v>
      </c>
      <c r="X69" s="45">
        <v>0</v>
      </c>
      <c r="Y69" s="45">
        <v>0</v>
      </c>
      <c r="Z69" s="45">
        <v>0</v>
      </c>
      <c r="AA69" s="45">
        <v>0</v>
      </c>
      <c r="AB69" s="50" t="str">
        <f t="shared" si="10"/>
        <v>비교불가</v>
      </c>
      <c r="AC69" s="50" t="str">
        <f t="shared" si="11"/>
        <v>비교불가</v>
      </c>
      <c r="AD69" s="47" t="s">
        <v>535</v>
      </c>
    </row>
    <row r="70" spans="1:30" ht="42" customHeight="1">
      <c r="A70" s="45" t="s">
        <v>536</v>
      </c>
      <c r="B70" s="46" t="s">
        <v>537</v>
      </c>
      <c r="C70" s="46" t="s">
        <v>538</v>
      </c>
      <c r="D70" s="52"/>
      <c r="E70" s="51"/>
      <c r="F70" s="50">
        <f t="shared" si="8"/>
        <v>0</v>
      </c>
      <c r="G70" s="50">
        <f t="shared" si="9"/>
        <v>0</v>
      </c>
      <c r="H70" s="45">
        <v>0</v>
      </c>
      <c r="I70" s="45">
        <v>0</v>
      </c>
      <c r="J70" s="45">
        <v>0</v>
      </c>
      <c r="K70" s="45">
        <v>0</v>
      </c>
      <c r="L70" s="45">
        <v>0</v>
      </c>
      <c r="M70" s="45">
        <v>0</v>
      </c>
      <c r="N70" s="45">
        <v>0</v>
      </c>
      <c r="O70" s="45">
        <v>0</v>
      </c>
      <c r="P70" s="45">
        <v>0</v>
      </c>
      <c r="Q70" s="45">
        <v>0</v>
      </c>
      <c r="R70" s="45">
        <v>0</v>
      </c>
      <c r="S70" s="45">
        <v>0</v>
      </c>
      <c r="T70" s="45">
        <v>0</v>
      </c>
      <c r="U70" s="45">
        <v>0</v>
      </c>
      <c r="V70" s="45">
        <v>0</v>
      </c>
      <c r="W70" s="45">
        <v>0</v>
      </c>
      <c r="X70" s="45">
        <v>0</v>
      </c>
      <c r="Y70" s="45">
        <v>0</v>
      </c>
      <c r="Z70" s="45">
        <v>0</v>
      </c>
      <c r="AA70" s="45">
        <v>0</v>
      </c>
      <c r="AB70" s="50" t="str">
        <f t="shared" si="10"/>
        <v>비교불가</v>
      </c>
      <c r="AC70" s="50" t="str">
        <f t="shared" si="11"/>
        <v>비교불가</v>
      </c>
      <c r="AD70" s="47" t="s">
        <v>458</v>
      </c>
    </row>
    <row r="71" spans="1:30" ht="42" customHeight="1">
      <c r="A71" s="45" t="s">
        <v>539</v>
      </c>
      <c r="B71" s="46" t="s">
        <v>540</v>
      </c>
      <c r="C71" s="46" t="s">
        <v>541</v>
      </c>
      <c r="D71" s="48" t="s">
        <v>542</v>
      </c>
      <c r="E71" s="49" t="s">
        <v>543</v>
      </c>
      <c r="F71" s="50">
        <f t="shared" si="8"/>
        <v>1</v>
      </c>
      <c r="G71" s="50">
        <f t="shared" si="9"/>
        <v>1</v>
      </c>
      <c r="H71" s="45">
        <v>316</v>
      </c>
      <c r="I71" s="45">
        <v>70</v>
      </c>
      <c r="J71" s="45">
        <v>4</v>
      </c>
      <c r="K71" s="45">
        <v>1</v>
      </c>
      <c r="L71" s="45">
        <v>78.2</v>
      </c>
      <c r="M71" s="45">
        <v>70</v>
      </c>
      <c r="N71" s="45">
        <v>0.16700000000000001</v>
      </c>
      <c r="O71" s="45">
        <v>0</v>
      </c>
      <c r="P71" s="45">
        <v>0.92269999999999996</v>
      </c>
      <c r="Q71" s="45">
        <v>1</v>
      </c>
      <c r="R71" s="45">
        <v>0.39900000000000002</v>
      </c>
      <c r="S71" s="45">
        <v>0.8</v>
      </c>
      <c r="T71" s="45">
        <v>1</v>
      </c>
      <c r="U71" s="45">
        <v>0.5</v>
      </c>
      <c r="V71" s="45">
        <v>9.49</v>
      </c>
      <c r="W71" s="45">
        <v>0</v>
      </c>
      <c r="X71" s="45">
        <v>0</v>
      </c>
      <c r="Y71" s="45">
        <v>0</v>
      </c>
      <c r="Z71" s="45">
        <v>0</v>
      </c>
      <c r="AA71" s="45">
        <v>0</v>
      </c>
      <c r="AB71" s="50" t="str">
        <f t="shared" si="10"/>
        <v>V3</v>
      </c>
      <c r="AC71" s="50" t="str">
        <f t="shared" si="11"/>
        <v>V2</v>
      </c>
      <c r="AD71" s="47" t="s">
        <v>252</v>
      </c>
    </row>
    <row r="72" spans="1:30" ht="42" customHeight="1">
      <c r="A72" s="45" t="s">
        <v>544</v>
      </c>
      <c r="B72" s="46" t="s">
        <v>545</v>
      </c>
      <c r="C72" s="46" t="s">
        <v>546</v>
      </c>
      <c r="D72" s="48" t="s">
        <v>547</v>
      </c>
      <c r="E72" s="49" t="s">
        <v>548</v>
      </c>
      <c r="F72" s="50">
        <f t="shared" si="8"/>
        <v>1</v>
      </c>
      <c r="G72" s="50">
        <f t="shared" si="9"/>
        <v>1</v>
      </c>
      <c r="H72" s="45">
        <v>699</v>
      </c>
      <c r="I72" s="45">
        <v>130</v>
      </c>
      <c r="J72" s="45">
        <v>7</v>
      </c>
      <c r="K72" s="45">
        <v>2</v>
      </c>
      <c r="L72" s="45">
        <v>99</v>
      </c>
      <c r="M72" s="45">
        <v>64.5</v>
      </c>
      <c r="N72" s="45">
        <v>0.42799999999999999</v>
      </c>
      <c r="O72" s="45">
        <v>0.17799999999999999</v>
      </c>
      <c r="P72" s="45">
        <v>0.88619999999999999</v>
      </c>
      <c r="Q72" s="45">
        <v>0.96150000000000002</v>
      </c>
      <c r="R72" s="45">
        <v>0.317</v>
      </c>
      <c r="S72" s="45">
        <v>0.41699999999999998</v>
      </c>
      <c r="T72" s="45">
        <v>0.75</v>
      </c>
      <c r="U72" s="45">
        <v>0.5</v>
      </c>
      <c r="V72" s="45">
        <v>0</v>
      </c>
      <c r="W72" s="45">
        <v>0</v>
      </c>
      <c r="X72" s="45">
        <v>116</v>
      </c>
      <c r="Y72" s="45">
        <v>0</v>
      </c>
      <c r="Z72" s="45">
        <v>0</v>
      </c>
      <c r="AA72" s="45">
        <v>0</v>
      </c>
      <c r="AB72" s="50" t="str">
        <f t="shared" si="10"/>
        <v>V3</v>
      </c>
      <c r="AC72" s="50" t="str">
        <f t="shared" si="11"/>
        <v>V2</v>
      </c>
      <c r="AD72" s="47" t="s">
        <v>225</v>
      </c>
    </row>
    <row r="73" spans="1:30" ht="42" customHeight="1">
      <c r="A73" s="45" t="s">
        <v>549</v>
      </c>
      <c r="B73" s="46" t="s">
        <v>550</v>
      </c>
      <c r="C73" s="46" t="s">
        <v>551</v>
      </c>
      <c r="D73" s="48" t="s">
        <v>552</v>
      </c>
      <c r="E73" s="49" t="s">
        <v>553</v>
      </c>
      <c r="F73" s="50">
        <f t="shared" si="8"/>
        <v>1</v>
      </c>
      <c r="G73" s="50">
        <f t="shared" si="9"/>
        <v>1</v>
      </c>
      <c r="H73" s="45">
        <v>263</v>
      </c>
      <c r="I73" s="45">
        <v>226</v>
      </c>
      <c r="J73" s="45">
        <v>3</v>
      </c>
      <c r="K73" s="45">
        <v>3</v>
      </c>
      <c r="L73" s="45">
        <v>87</v>
      </c>
      <c r="M73" s="45">
        <v>74.7</v>
      </c>
      <c r="N73" s="45">
        <v>0.36199999999999999</v>
      </c>
      <c r="O73" s="45">
        <v>0.26700000000000002</v>
      </c>
      <c r="P73" s="45">
        <v>0.94499999999999995</v>
      </c>
      <c r="Q73" s="45">
        <v>0.90959999999999996</v>
      </c>
      <c r="R73" s="45">
        <v>0.34200000000000003</v>
      </c>
      <c r="S73" s="45">
        <v>0.66900000000000004</v>
      </c>
      <c r="T73" s="45">
        <v>0.75</v>
      </c>
      <c r="U73" s="45">
        <v>0.75</v>
      </c>
      <c r="V73" s="45">
        <v>0</v>
      </c>
      <c r="W73" s="45">
        <v>0</v>
      </c>
      <c r="X73" s="45">
        <v>1</v>
      </c>
      <c r="Y73" s="45">
        <v>2</v>
      </c>
      <c r="Z73" s="45">
        <v>0</v>
      </c>
      <c r="AA73" s="45">
        <v>0</v>
      </c>
      <c r="AB73" s="50" t="str">
        <f t="shared" si="10"/>
        <v>V3</v>
      </c>
      <c r="AC73" s="50" t="str">
        <f t="shared" si="11"/>
        <v>동률</v>
      </c>
      <c r="AD73" s="47" t="s">
        <v>267</v>
      </c>
    </row>
    <row r="74" spans="1:30" ht="42" customHeight="1">
      <c r="A74" s="45" t="s">
        <v>554</v>
      </c>
      <c r="B74" s="46" t="s">
        <v>555</v>
      </c>
      <c r="C74" s="46" t="s">
        <v>556</v>
      </c>
      <c r="D74" s="48" t="s">
        <v>557</v>
      </c>
      <c r="E74" s="49" t="s">
        <v>558</v>
      </c>
      <c r="F74" s="50">
        <f t="shared" si="8"/>
        <v>1</v>
      </c>
      <c r="G74" s="50">
        <f t="shared" si="9"/>
        <v>1</v>
      </c>
      <c r="H74" s="45">
        <v>442</v>
      </c>
      <c r="I74" s="45">
        <v>117</v>
      </c>
      <c r="J74" s="45">
        <v>5</v>
      </c>
      <c r="K74" s="45">
        <v>2</v>
      </c>
      <c r="L74" s="45">
        <v>87.6</v>
      </c>
      <c r="M74" s="45">
        <v>58</v>
      </c>
      <c r="N74" s="45">
        <v>0.247</v>
      </c>
      <c r="O74" s="45">
        <v>1.7000000000000001E-2</v>
      </c>
      <c r="P74" s="45">
        <v>0.93500000000000005</v>
      </c>
      <c r="Q74" s="45">
        <v>0.88460000000000005</v>
      </c>
      <c r="R74" s="45">
        <v>0.17199999999999999</v>
      </c>
      <c r="S74" s="45">
        <v>0.56399999999999995</v>
      </c>
      <c r="T74" s="45">
        <v>1</v>
      </c>
      <c r="U74" s="45">
        <v>0.75</v>
      </c>
      <c r="V74" s="45">
        <v>4.5199999999999996</v>
      </c>
      <c r="W74" s="45">
        <v>0</v>
      </c>
      <c r="X74" s="45">
        <v>1</v>
      </c>
      <c r="Y74" s="45">
        <v>2</v>
      </c>
      <c r="Z74" s="45">
        <v>0</v>
      </c>
      <c r="AA74" s="45">
        <v>0</v>
      </c>
      <c r="AB74" s="50" t="str">
        <f t="shared" si="10"/>
        <v>V3</v>
      </c>
      <c r="AC74" s="50" t="str">
        <f t="shared" si="11"/>
        <v>V2</v>
      </c>
      <c r="AD74" s="47" t="s">
        <v>252</v>
      </c>
    </row>
    <row r="75" spans="1:30" ht="42" customHeight="1">
      <c r="A75" s="45" t="s">
        <v>559</v>
      </c>
      <c r="B75" s="46" t="s">
        <v>560</v>
      </c>
      <c r="C75" s="46" t="s">
        <v>561</v>
      </c>
      <c r="D75" s="48" t="s">
        <v>562</v>
      </c>
      <c r="E75" s="51"/>
      <c r="F75" s="50">
        <f t="shared" si="8"/>
        <v>1</v>
      </c>
      <c r="G75" s="50">
        <f t="shared" si="9"/>
        <v>0</v>
      </c>
      <c r="H75" s="45">
        <v>206</v>
      </c>
      <c r="I75" s="45">
        <v>0</v>
      </c>
      <c r="J75" s="45">
        <v>2</v>
      </c>
      <c r="K75" s="45">
        <v>0</v>
      </c>
      <c r="L75" s="45">
        <v>102.5</v>
      </c>
      <c r="M75" s="45">
        <v>0</v>
      </c>
      <c r="N75" s="45">
        <v>0.18</v>
      </c>
      <c r="O75" s="45">
        <v>0</v>
      </c>
      <c r="P75" s="45">
        <v>0.94789999999999996</v>
      </c>
      <c r="Q75" s="45">
        <v>0</v>
      </c>
      <c r="R75" s="45">
        <v>0.41599999999999998</v>
      </c>
      <c r="S75" s="45">
        <v>0</v>
      </c>
      <c r="T75" s="45">
        <v>0.8</v>
      </c>
      <c r="U75" s="45">
        <v>0</v>
      </c>
      <c r="V75" s="45">
        <v>4.8499999999999996</v>
      </c>
      <c r="W75" s="45">
        <v>0</v>
      </c>
      <c r="X75" s="45">
        <v>0</v>
      </c>
      <c r="Y75" s="45">
        <v>0</v>
      </c>
      <c r="Z75" s="45">
        <v>0</v>
      </c>
      <c r="AA75" s="45">
        <v>0</v>
      </c>
      <c r="AB75" s="50" t="str">
        <f t="shared" si="10"/>
        <v>비교불가</v>
      </c>
      <c r="AC75" s="50" t="str">
        <f t="shared" si="11"/>
        <v>비교불가</v>
      </c>
      <c r="AD75" s="47" t="s">
        <v>281</v>
      </c>
    </row>
    <row r="76" spans="1:30" ht="42" customHeight="1">
      <c r="A76" s="45" t="s">
        <v>563</v>
      </c>
      <c r="B76" s="46" t="s">
        <v>564</v>
      </c>
      <c r="C76" s="46" t="s">
        <v>565</v>
      </c>
      <c r="D76" s="48" t="s">
        <v>566</v>
      </c>
      <c r="E76" s="49" t="s">
        <v>567</v>
      </c>
      <c r="F76" s="50">
        <f t="shared" si="8"/>
        <v>1</v>
      </c>
      <c r="G76" s="50">
        <f t="shared" si="9"/>
        <v>1</v>
      </c>
      <c r="H76" s="45">
        <v>494</v>
      </c>
      <c r="I76" s="45">
        <v>88</v>
      </c>
      <c r="J76" s="45">
        <v>5</v>
      </c>
      <c r="K76" s="45">
        <v>1</v>
      </c>
      <c r="L76" s="45">
        <v>98</v>
      </c>
      <c r="M76" s="45">
        <v>88</v>
      </c>
      <c r="N76" s="45">
        <v>0.19900000000000001</v>
      </c>
      <c r="O76" s="45">
        <v>0</v>
      </c>
      <c r="P76" s="45">
        <v>0.95850000000000002</v>
      </c>
      <c r="Q76" s="45">
        <v>0.94440000000000002</v>
      </c>
      <c r="R76" s="45">
        <v>0.47599999999999998</v>
      </c>
      <c r="S76" s="45">
        <v>0.78700000000000003</v>
      </c>
      <c r="T76" s="45">
        <v>1</v>
      </c>
      <c r="U76" s="45">
        <v>0.25</v>
      </c>
      <c r="V76" s="45">
        <v>0</v>
      </c>
      <c r="W76" s="45">
        <v>0</v>
      </c>
      <c r="X76" s="45">
        <v>20</v>
      </c>
      <c r="Y76" s="45">
        <v>0</v>
      </c>
      <c r="Z76" s="45">
        <v>0</v>
      </c>
      <c r="AA76" s="45">
        <v>0</v>
      </c>
      <c r="AB76" s="50" t="str">
        <f t="shared" si="10"/>
        <v>V3</v>
      </c>
      <c r="AC76" s="50" t="str">
        <f t="shared" si="11"/>
        <v>V2</v>
      </c>
      <c r="AD76" s="47" t="s">
        <v>225</v>
      </c>
    </row>
    <row r="77" spans="1:30" ht="42" customHeight="1">
      <c r="A77" s="45" t="s">
        <v>568</v>
      </c>
      <c r="B77" s="46" t="s">
        <v>569</v>
      </c>
      <c r="C77" s="46" t="s">
        <v>570</v>
      </c>
      <c r="D77" s="48" t="s">
        <v>571</v>
      </c>
      <c r="E77" s="49" t="s">
        <v>572</v>
      </c>
      <c r="F77" s="50">
        <f t="shared" si="8"/>
        <v>1</v>
      </c>
      <c r="G77" s="50">
        <f t="shared" si="9"/>
        <v>1</v>
      </c>
      <c r="H77" s="45">
        <v>662</v>
      </c>
      <c r="I77" s="45">
        <v>183</v>
      </c>
      <c r="J77" s="45">
        <v>8</v>
      </c>
      <c r="K77" s="45">
        <v>2</v>
      </c>
      <c r="L77" s="45">
        <v>81.900000000000006</v>
      </c>
      <c r="M77" s="45">
        <v>91</v>
      </c>
      <c r="N77" s="45">
        <v>0.22600000000000001</v>
      </c>
      <c r="O77" s="45">
        <v>0.17599999999999999</v>
      </c>
      <c r="P77" s="45">
        <v>0.96919999999999995</v>
      </c>
      <c r="Q77" s="45">
        <v>0.95</v>
      </c>
      <c r="R77" s="45">
        <v>9.7000000000000003E-2</v>
      </c>
      <c r="S77" s="45">
        <v>0.50800000000000001</v>
      </c>
      <c r="T77" s="45">
        <v>1</v>
      </c>
      <c r="U77" s="45">
        <v>0.75</v>
      </c>
      <c r="V77" s="45">
        <v>4.53</v>
      </c>
      <c r="W77" s="45">
        <v>0</v>
      </c>
      <c r="X77" s="45">
        <v>5</v>
      </c>
      <c r="Y77" s="45">
        <v>5</v>
      </c>
      <c r="Z77" s="45">
        <v>0</v>
      </c>
      <c r="AA77" s="45">
        <v>0</v>
      </c>
      <c r="AB77" s="50" t="str">
        <f t="shared" si="10"/>
        <v>V3</v>
      </c>
      <c r="AC77" s="50" t="str">
        <f t="shared" si="11"/>
        <v>V2</v>
      </c>
      <c r="AD77" s="47" t="s">
        <v>267</v>
      </c>
    </row>
    <row r="78" spans="1:30" ht="42" customHeight="1">
      <c r="A78" s="45" t="s">
        <v>573</v>
      </c>
      <c r="B78" s="46" t="s">
        <v>574</v>
      </c>
      <c r="C78" s="46" t="s">
        <v>575</v>
      </c>
      <c r="D78" s="48" t="s">
        <v>576</v>
      </c>
      <c r="E78" s="49" t="s">
        <v>577</v>
      </c>
      <c r="F78" s="50">
        <f t="shared" si="8"/>
        <v>1</v>
      </c>
      <c r="G78" s="50">
        <f t="shared" si="9"/>
        <v>1</v>
      </c>
      <c r="H78" s="45">
        <v>253</v>
      </c>
      <c r="I78" s="45">
        <v>136</v>
      </c>
      <c r="J78" s="45">
        <v>4</v>
      </c>
      <c r="K78" s="45">
        <v>3</v>
      </c>
      <c r="L78" s="45">
        <v>62.5</v>
      </c>
      <c r="M78" s="45">
        <v>44.7</v>
      </c>
      <c r="N78" s="45">
        <v>0.14699999999999999</v>
      </c>
      <c r="O78" s="45">
        <v>0.377</v>
      </c>
      <c r="P78" s="45">
        <v>0.95</v>
      </c>
      <c r="Q78" s="45">
        <v>0.875</v>
      </c>
      <c r="R78" s="45">
        <v>0.24399999999999999</v>
      </c>
      <c r="S78" s="45">
        <v>0.42599999999999999</v>
      </c>
      <c r="T78" s="45">
        <v>1</v>
      </c>
      <c r="U78" s="45">
        <v>0.33300000000000002</v>
      </c>
      <c r="V78" s="45">
        <v>3.95</v>
      </c>
      <c r="W78" s="45">
        <v>0</v>
      </c>
      <c r="X78" s="45">
        <v>0</v>
      </c>
      <c r="Y78" s="45">
        <v>1</v>
      </c>
      <c r="Z78" s="45">
        <v>0</v>
      </c>
      <c r="AA78" s="45">
        <v>0</v>
      </c>
      <c r="AB78" s="50" t="str">
        <f t="shared" si="10"/>
        <v>V3</v>
      </c>
      <c r="AC78" s="50" t="str">
        <f t="shared" si="11"/>
        <v>V2</v>
      </c>
      <c r="AD78" s="47" t="s">
        <v>252</v>
      </c>
    </row>
    <row r="79" spans="1:30" ht="42" customHeight="1">
      <c r="A79" s="45" t="s">
        <v>578</v>
      </c>
      <c r="B79" s="46" t="s">
        <v>579</v>
      </c>
      <c r="C79" s="46" t="s">
        <v>580</v>
      </c>
      <c r="D79" s="48" t="s">
        <v>581</v>
      </c>
      <c r="E79" s="49" t="s">
        <v>582</v>
      </c>
      <c r="F79" s="50">
        <f t="shared" si="8"/>
        <v>1</v>
      </c>
      <c r="G79" s="50">
        <f t="shared" si="9"/>
        <v>1</v>
      </c>
      <c r="H79" s="45">
        <v>210</v>
      </c>
      <c r="I79" s="45">
        <v>234</v>
      </c>
      <c r="J79" s="45">
        <v>2</v>
      </c>
      <c r="K79" s="45">
        <v>2</v>
      </c>
      <c r="L79" s="45">
        <v>104.5</v>
      </c>
      <c r="M79" s="45">
        <v>116.5</v>
      </c>
      <c r="N79" s="45">
        <v>0.16700000000000001</v>
      </c>
      <c r="O79" s="45">
        <v>0.27900000000000003</v>
      </c>
      <c r="P79" s="45">
        <v>0.97499999999999998</v>
      </c>
      <c r="Q79" s="45">
        <v>0.99380000000000002</v>
      </c>
      <c r="R79" s="45">
        <v>0.59199999999999997</v>
      </c>
      <c r="S79" s="45">
        <v>0.63700000000000001</v>
      </c>
      <c r="T79" s="45">
        <v>1</v>
      </c>
      <c r="U79" s="45">
        <v>0.6</v>
      </c>
      <c r="V79" s="45">
        <v>0</v>
      </c>
      <c r="W79" s="45">
        <v>0</v>
      </c>
      <c r="X79" s="45">
        <v>0</v>
      </c>
      <c r="Y79" s="45">
        <v>0</v>
      </c>
      <c r="Z79" s="45">
        <v>0</v>
      </c>
      <c r="AA79" s="45">
        <v>0</v>
      </c>
      <c r="AB79" s="50" t="str">
        <f t="shared" si="10"/>
        <v>V3</v>
      </c>
      <c r="AC79" s="50" t="str">
        <f t="shared" si="11"/>
        <v>V2</v>
      </c>
      <c r="AD79" s="47" t="s">
        <v>453</v>
      </c>
    </row>
    <row r="80" spans="1:30" ht="42" customHeight="1">
      <c r="A80" s="45" t="s">
        <v>583</v>
      </c>
      <c r="B80" s="46" t="s">
        <v>584</v>
      </c>
      <c r="C80" s="46" t="s">
        <v>585</v>
      </c>
      <c r="D80" s="48" t="s">
        <v>586</v>
      </c>
      <c r="E80" s="51"/>
      <c r="F80" s="50">
        <f t="shared" si="8"/>
        <v>1</v>
      </c>
      <c r="G80" s="50">
        <f t="shared" si="9"/>
        <v>0</v>
      </c>
      <c r="H80" s="45">
        <v>519</v>
      </c>
      <c r="I80" s="45">
        <v>0</v>
      </c>
      <c r="J80" s="45">
        <v>5</v>
      </c>
      <c r="K80" s="45">
        <v>0</v>
      </c>
      <c r="L80" s="45">
        <v>103</v>
      </c>
      <c r="M80" s="45">
        <v>0</v>
      </c>
      <c r="N80" s="45">
        <v>0.17699999999999999</v>
      </c>
      <c r="O80" s="45">
        <v>0</v>
      </c>
      <c r="P80" s="45">
        <v>0.97799999999999998</v>
      </c>
      <c r="Q80" s="45">
        <v>0</v>
      </c>
      <c r="R80" s="45">
        <v>0.33200000000000002</v>
      </c>
      <c r="S80" s="45">
        <v>0</v>
      </c>
      <c r="T80" s="45">
        <v>1</v>
      </c>
      <c r="U80" s="45">
        <v>0</v>
      </c>
      <c r="V80" s="45">
        <v>7.71</v>
      </c>
      <c r="W80" s="45">
        <v>0</v>
      </c>
      <c r="X80" s="45">
        <v>17</v>
      </c>
      <c r="Y80" s="45">
        <v>0</v>
      </c>
      <c r="Z80" s="45">
        <v>0</v>
      </c>
      <c r="AA80" s="45">
        <v>0</v>
      </c>
      <c r="AB80" s="50" t="str">
        <f t="shared" si="10"/>
        <v>비교불가</v>
      </c>
      <c r="AC80" s="50" t="str">
        <f t="shared" si="11"/>
        <v>비교불가</v>
      </c>
      <c r="AD80" s="47" t="s">
        <v>281</v>
      </c>
    </row>
    <row r="81" spans="1:30" ht="42" customHeight="1">
      <c r="A81" s="45" t="s">
        <v>587</v>
      </c>
      <c r="B81" s="46" t="s">
        <v>588</v>
      </c>
      <c r="C81" s="47" t="s">
        <v>589</v>
      </c>
      <c r="D81" s="48" t="s">
        <v>590</v>
      </c>
      <c r="E81" s="51"/>
      <c r="F81" s="50">
        <f t="shared" si="8"/>
        <v>1</v>
      </c>
      <c r="G81" s="50">
        <f t="shared" si="9"/>
        <v>0</v>
      </c>
      <c r="H81" s="45">
        <v>326</v>
      </c>
      <c r="I81" s="45">
        <v>0</v>
      </c>
      <c r="J81" s="45">
        <v>4</v>
      </c>
      <c r="K81" s="45">
        <v>0</v>
      </c>
      <c r="L81" s="45">
        <v>80.8</v>
      </c>
      <c r="M81" s="45">
        <v>0</v>
      </c>
      <c r="N81" s="45">
        <v>3.6999999999999998E-2</v>
      </c>
      <c r="O81" s="45">
        <v>0</v>
      </c>
      <c r="P81" s="45">
        <v>0.95150000000000001</v>
      </c>
      <c r="Q81" s="45">
        <v>0</v>
      </c>
      <c r="R81" s="45">
        <v>0.307</v>
      </c>
      <c r="S81" s="45">
        <v>0</v>
      </c>
      <c r="T81" s="45">
        <v>0.4</v>
      </c>
      <c r="U81" s="45">
        <v>0</v>
      </c>
      <c r="V81" s="45">
        <v>6.13</v>
      </c>
      <c r="W81" s="45">
        <v>0</v>
      </c>
      <c r="X81" s="45">
        <v>0</v>
      </c>
      <c r="Y81" s="45">
        <v>0</v>
      </c>
      <c r="Z81" s="45">
        <v>0</v>
      </c>
      <c r="AA81" s="45">
        <v>0</v>
      </c>
      <c r="AB81" s="50" t="str">
        <f t="shared" si="10"/>
        <v>비교불가</v>
      </c>
      <c r="AC81" s="50" t="str">
        <f t="shared" si="11"/>
        <v>비교불가</v>
      </c>
      <c r="AD81" s="47" t="s">
        <v>535</v>
      </c>
    </row>
    <row r="82" spans="1:30" ht="42" customHeight="1">
      <c r="A82" s="45" t="s">
        <v>591</v>
      </c>
      <c r="B82" s="46" t="s">
        <v>592</v>
      </c>
      <c r="C82" s="47" t="s">
        <v>593</v>
      </c>
      <c r="D82" s="48" t="s">
        <v>594</v>
      </c>
      <c r="E82" s="49" t="s">
        <v>595</v>
      </c>
      <c r="F82" s="50">
        <f t="shared" si="8"/>
        <v>1</v>
      </c>
      <c r="G82" s="50">
        <f t="shared" si="9"/>
        <v>1</v>
      </c>
      <c r="H82" s="45">
        <v>400</v>
      </c>
      <c r="I82" s="45">
        <v>244</v>
      </c>
      <c r="J82" s="45">
        <v>5</v>
      </c>
      <c r="K82" s="45">
        <v>3</v>
      </c>
      <c r="L82" s="45">
        <v>79.2</v>
      </c>
      <c r="M82" s="45">
        <v>80.7</v>
      </c>
      <c r="N82" s="45">
        <v>0.36199999999999999</v>
      </c>
      <c r="O82" s="45">
        <v>0.14199999999999999</v>
      </c>
      <c r="P82" s="45">
        <v>0.87890000000000001</v>
      </c>
      <c r="Q82" s="45">
        <v>0.89529999999999998</v>
      </c>
      <c r="R82" s="45">
        <v>0.47099999999999997</v>
      </c>
      <c r="S82" s="45">
        <v>0.57399999999999995</v>
      </c>
      <c r="T82" s="45">
        <v>0.8</v>
      </c>
      <c r="U82" s="45">
        <v>1</v>
      </c>
      <c r="V82" s="45">
        <v>7.5</v>
      </c>
      <c r="W82" s="45">
        <v>8.1999999999999993</v>
      </c>
      <c r="X82" s="45">
        <v>20</v>
      </c>
      <c r="Y82" s="45">
        <v>1</v>
      </c>
      <c r="Z82" s="45">
        <v>0</v>
      </c>
      <c r="AA82" s="45">
        <v>0</v>
      </c>
      <c r="AB82" s="50" t="str">
        <f t="shared" si="10"/>
        <v>V3</v>
      </c>
      <c r="AC82" s="50" t="str">
        <f t="shared" si="11"/>
        <v>V3</v>
      </c>
      <c r="AD82" s="47" t="s">
        <v>236</v>
      </c>
    </row>
    <row r="83" spans="1:30" ht="42" customHeight="1">
      <c r="A83" s="45" t="s">
        <v>596</v>
      </c>
      <c r="B83" s="46" t="s">
        <v>597</v>
      </c>
      <c r="C83" s="47" t="s">
        <v>598</v>
      </c>
      <c r="D83" s="48" t="s">
        <v>599</v>
      </c>
      <c r="E83" s="49" t="s">
        <v>600</v>
      </c>
      <c r="F83" s="50">
        <f t="shared" si="8"/>
        <v>1</v>
      </c>
      <c r="G83" s="50">
        <f t="shared" si="9"/>
        <v>1</v>
      </c>
      <c r="H83" s="45">
        <v>803</v>
      </c>
      <c r="I83" s="45">
        <v>244</v>
      </c>
      <c r="J83" s="45">
        <v>8</v>
      </c>
      <c r="K83" s="45">
        <v>3</v>
      </c>
      <c r="L83" s="45">
        <v>99.5</v>
      </c>
      <c r="M83" s="45">
        <v>80.7</v>
      </c>
      <c r="N83" s="45">
        <v>0.28100000000000003</v>
      </c>
      <c r="O83" s="45">
        <v>0.45900000000000002</v>
      </c>
      <c r="P83" s="45">
        <v>0.94159999999999999</v>
      </c>
      <c r="Q83" s="45">
        <v>0.92830000000000001</v>
      </c>
      <c r="R83" s="45">
        <v>0.34399999999999997</v>
      </c>
      <c r="S83" s="45">
        <v>0.55900000000000005</v>
      </c>
      <c r="T83" s="45">
        <v>0.8</v>
      </c>
      <c r="U83" s="45">
        <v>0.6</v>
      </c>
      <c r="V83" s="45">
        <v>3.74</v>
      </c>
      <c r="W83" s="45">
        <v>0</v>
      </c>
      <c r="X83" s="45">
        <v>15</v>
      </c>
      <c r="Y83" s="45">
        <v>10</v>
      </c>
      <c r="Z83" s="45">
        <v>0</v>
      </c>
      <c r="AA83" s="45">
        <v>0</v>
      </c>
      <c r="AB83" s="50" t="str">
        <f t="shared" si="10"/>
        <v>V3</v>
      </c>
      <c r="AC83" s="50" t="str">
        <f t="shared" si="11"/>
        <v>V2</v>
      </c>
      <c r="AD83" s="47" t="s">
        <v>464</v>
      </c>
    </row>
    <row r="84" spans="1:30" ht="42" customHeight="1">
      <c r="A84" s="45" t="s">
        <v>601</v>
      </c>
      <c r="B84" s="46" t="s">
        <v>602</v>
      </c>
      <c r="C84" s="47" t="s">
        <v>603</v>
      </c>
      <c r="D84" s="52"/>
      <c r="E84" s="51"/>
      <c r="F84" s="50">
        <f t="shared" si="8"/>
        <v>0</v>
      </c>
      <c r="G84" s="50">
        <f t="shared" si="9"/>
        <v>0</v>
      </c>
      <c r="H84" s="45">
        <v>0</v>
      </c>
      <c r="I84" s="45">
        <v>0</v>
      </c>
      <c r="J84" s="45">
        <v>0</v>
      </c>
      <c r="K84" s="45">
        <v>0</v>
      </c>
      <c r="L84" s="45">
        <v>0</v>
      </c>
      <c r="M84" s="45">
        <v>0</v>
      </c>
      <c r="N84" s="45">
        <v>0</v>
      </c>
      <c r="O84" s="45">
        <v>0</v>
      </c>
      <c r="P84" s="45">
        <v>0</v>
      </c>
      <c r="Q84" s="45">
        <v>0</v>
      </c>
      <c r="R84" s="45">
        <v>0</v>
      </c>
      <c r="S84" s="45">
        <v>0</v>
      </c>
      <c r="T84" s="45">
        <v>0</v>
      </c>
      <c r="U84" s="45">
        <v>0</v>
      </c>
      <c r="V84" s="45">
        <v>0</v>
      </c>
      <c r="W84" s="45">
        <v>0</v>
      </c>
      <c r="X84" s="45">
        <v>0</v>
      </c>
      <c r="Y84" s="45">
        <v>0</v>
      </c>
      <c r="Z84" s="45">
        <v>0</v>
      </c>
      <c r="AA84" s="45">
        <v>0</v>
      </c>
      <c r="AB84" s="50" t="str">
        <f t="shared" si="10"/>
        <v>비교불가</v>
      </c>
      <c r="AC84" s="50" t="str">
        <f t="shared" si="11"/>
        <v>비교불가</v>
      </c>
      <c r="AD84" s="47" t="s">
        <v>604</v>
      </c>
    </row>
    <row r="85" spans="1:30" ht="42" customHeight="1">
      <c r="A85" s="45" t="s">
        <v>605</v>
      </c>
      <c r="B85" s="46" t="s">
        <v>606</v>
      </c>
      <c r="C85" s="46" t="s">
        <v>607</v>
      </c>
      <c r="D85" s="48" t="s">
        <v>608</v>
      </c>
      <c r="E85" s="51"/>
      <c r="F85" s="50">
        <f t="shared" si="8"/>
        <v>1</v>
      </c>
      <c r="G85" s="50">
        <f t="shared" si="9"/>
        <v>0</v>
      </c>
      <c r="H85" s="45">
        <v>644</v>
      </c>
      <c r="I85" s="45">
        <v>0</v>
      </c>
      <c r="J85" s="45">
        <v>6</v>
      </c>
      <c r="K85" s="45">
        <v>0</v>
      </c>
      <c r="L85" s="45">
        <v>106.5</v>
      </c>
      <c r="M85" s="45">
        <v>0</v>
      </c>
      <c r="N85" s="45">
        <v>0.254</v>
      </c>
      <c r="O85" s="45">
        <v>0</v>
      </c>
      <c r="P85" s="45">
        <v>0.92659999999999998</v>
      </c>
      <c r="Q85" s="45">
        <v>0</v>
      </c>
      <c r="R85" s="45">
        <v>0.66400000000000003</v>
      </c>
      <c r="S85" s="45">
        <v>0</v>
      </c>
      <c r="T85" s="45">
        <v>0.66700000000000004</v>
      </c>
      <c r="U85" s="45">
        <v>0</v>
      </c>
      <c r="V85" s="45">
        <v>4.66</v>
      </c>
      <c r="W85" s="45">
        <v>0</v>
      </c>
      <c r="X85" s="45">
        <v>11</v>
      </c>
      <c r="Y85" s="45">
        <v>0</v>
      </c>
      <c r="Z85" s="45">
        <v>0</v>
      </c>
      <c r="AA85" s="45">
        <v>0</v>
      </c>
      <c r="AB85" s="50" t="str">
        <f t="shared" si="10"/>
        <v>비교불가</v>
      </c>
      <c r="AC85" s="50" t="str">
        <f t="shared" si="11"/>
        <v>비교불가</v>
      </c>
      <c r="AD85" s="47" t="s">
        <v>256</v>
      </c>
    </row>
    <row r="86" spans="1:30" ht="42" customHeight="1">
      <c r="A86" s="45" t="s">
        <v>609</v>
      </c>
      <c r="B86" s="46" t="s">
        <v>610</v>
      </c>
      <c r="C86" s="46" t="s">
        <v>611</v>
      </c>
      <c r="D86" s="48" t="s">
        <v>612</v>
      </c>
      <c r="E86" s="49" t="s">
        <v>613</v>
      </c>
      <c r="F86" s="50">
        <f t="shared" si="8"/>
        <v>1</v>
      </c>
      <c r="G86" s="50">
        <f t="shared" si="9"/>
        <v>1</v>
      </c>
      <c r="H86" s="45">
        <v>565</v>
      </c>
      <c r="I86" s="45">
        <v>180</v>
      </c>
      <c r="J86" s="45">
        <v>6</v>
      </c>
      <c r="K86" s="45">
        <v>3</v>
      </c>
      <c r="L86" s="45">
        <v>93.3</v>
      </c>
      <c r="M86" s="45">
        <v>59.3</v>
      </c>
      <c r="N86" s="45">
        <v>0.156</v>
      </c>
      <c r="O86" s="45">
        <v>0.72899999999999998</v>
      </c>
      <c r="P86" s="45">
        <v>0.91339999999999999</v>
      </c>
      <c r="Q86" s="45">
        <v>0.98119999999999996</v>
      </c>
      <c r="R86" s="45">
        <v>0.40200000000000002</v>
      </c>
      <c r="S86" s="45">
        <v>0.96899999999999997</v>
      </c>
      <c r="T86" s="45">
        <v>1</v>
      </c>
      <c r="U86" s="45">
        <v>0.75</v>
      </c>
      <c r="V86" s="45">
        <v>3.54</v>
      </c>
      <c r="W86" s="45">
        <v>0</v>
      </c>
      <c r="X86" s="45">
        <v>11</v>
      </c>
      <c r="Y86" s="45">
        <v>0</v>
      </c>
      <c r="Z86" s="45">
        <v>0</v>
      </c>
      <c r="AA86" s="45">
        <v>0</v>
      </c>
      <c r="AB86" s="50" t="str">
        <f t="shared" si="10"/>
        <v>V3</v>
      </c>
      <c r="AC86" s="50" t="str">
        <f t="shared" si="11"/>
        <v>V2</v>
      </c>
      <c r="AD86" s="47" t="s">
        <v>252</v>
      </c>
    </row>
    <row r="87" spans="1:30" ht="42" customHeight="1">
      <c r="A87" s="45" t="s">
        <v>614</v>
      </c>
      <c r="B87" s="46" t="s">
        <v>615</v>
      </c>
      <c r="C87" s="46" t="s">
        <v>616</v>
      </c>
      <c r="D87" s="52" t="s">
        <v>617</v>
      </c>
      <c r="E87" s="49" t="s">
        <v>618</v>
      </c>
      <c r="F87" s="50">
        <f t="shared" si="8"/>
        <v>1</v>
      </c>
      <c r="G87" s="50">
        <f t="shared" si="9"/>
        <v>1</v>
      </c>
      <c r="H87" s="45">
        <v>716</v>
      </c>
      <c r="I87" s="45">
        <v>403</v>
      </c>
      <c r="J87" s="45">
        <v>8</v>
      </c>
      <c r="K87" s="45">
        <v>4</v>
      </c>
      <c r="L87" s="45">
        <v>88.6</v>
      </c>
      <c r="M87" s="45">
        <v>100</v>
      </c>
      <c r="N87" s="45">
        <v>0.27700000000000002</v>
      </c>
      <c r="O87" s="45">
        <v>0.23899999999999999</v>
      </c>
      <c r="P87" s="45">
        <v>0.93469999999999998</v>
      </c>
      <c r="Q87" s="45">
        <v>0.93559999999999999</v>
      </c>
      <c r="R87" s="45">
        <v>0.33500000000000002</v>
      </c>
      <c r="S87" s="45">
        <v>0.64500000000000002</v>
      </c>
      <c r="T87" s="45">
        <v>1</v>
      </c>
      <c r="U87" s="45">
        <v>0.8</v>
      </c>
      <c r="V87" s="45">
        <v>6.98</v>
      </c>
      <c r="W87" s="45">
        <v>7.44</v>
      </c>
      <c r="X87" s="45">
        <v>0</v>
      </c>
      <c r="Y87" s="45">
        <v>5</v>
      </c>
      <c r="Z87" s="45">
        <v>0</v>
      </c>
      <c r="AA87" s="45">
        <v>0</v>
      </c>
      <c r="AB87" s="50" t="str">
        <f t="shared" si="10"/>
        <v>V3</v>
      </c>
      <c r="AC87" s="50" t="str">
        <f t="shared" si="11"/>
        <v>V2</v>
      </c>
      <c r="AD87" s="47" t="s">
        <v>619</v>
      </c>
    </row>
    <row r="88" spans="1:30" ht="42" customHeight="1">
      <c r="A88" s="45" t="s">
        <v>620</v>
      </c>
      <c r="B88" s="46" t="s">
        <v>621</v>
      </c>
      <c r="C88" s="46" t="s">
        <v>622</v>
      </c>
      <c r="D88" s="52" t="s">
        <v>623</v>
      </c>
      <c r="E88" s="49" t="s">
        <v>624</v>
      </c>
      <c r="F88" s="50">
        <f t="shared" si="8"/>
        <v>1</v>
      </c>
      <c r="G88" s="50">
        <f t="shared" si="9"/>
        <v>1</v>
      </c>
      <c r="H88" s="45">
        <v>695</v>
      </c>
      <c r="I88" s="45">
        <v>146</v>
      </c>
      <c r="J88" s="45">
        <v>8</v>
      </c>
      <c r="K88" s="45">
        <v>1</v>
      </c>
      <c r="L88" s="45">
        <v>86</v>
      </c>
      <c r="M88" s="45">
        <v>146</v>
      </c>
      <c r="N88" s="45">
        <v>0.247</v>
      </c>
      <c r="O88" s="45">
        <v>0</v>
      </c>
      <c r="P88" s="45">
        <v>0.88870000000000005</v>
      </c>
      <c r="Q88" s="45">
        <v>0.92110000000000003</v>
      </c>
      <c r="R88" s="45">
        <v>0.20399999999999999</v>
      </c>
      <c r="S88" s="45">
        <v>0.752</v>
      </c>
      <c r="T88" s="45">
        <v>1</v>
      </c>
      <c r="U88" s="45">
        <v>0.2</v>
      </c>
      <c r="V88" s="45">
        <v>8.6300000000000008</v>
      </c>
      <c r="W88" s="45">
        <v>0</v>
      </c>
      <c r="X88" s="45">
        <v>71</v>
      </c>
      <c r="Y88" s="45">
        <v>0</v>
      </c>
      <c r="Z88" s="45">
        <v>0</v>
      </c>
      <c r="AA88" s="45">
        <v>0</v>
      </c>
      <c r="AB88" s="50" t="str">
        <f t="shared" si="10"/>
        <v>V3</v>
      </c>
      <c r="AC88" s="50" t="str">
        <f t="shared" si="11"/>
        <v>V2</v>
      </c>
      <c r="AD88" s="47" t="s">
        <v>225</v>
      </c>
    </row>
    <row r="89" spans="1:30" ht="42" customHeight="1">
      <c r="A89" s="45" t="s">
        <v>625</v>
      </c>
      <c r="B89" s="46" t="s">
        <v>626</v>
      </c>
      <c r="C89" s="46" t="s">
        <v>627</v>
      </c>
      <c r="D89" s="52" t="s">
        <v>628</v>
      </c>
      <c r="E89" s="49" t="s">
        <v>629</v>
      </c>
      <c r="F89" s="50">
        <f t="shared" si="8"/>
        <v>1</v>
      </c>
      <c r="G89" s="50">
        <f t="shared" si="9"/>
        <v>1</v>
      </c>
      <c r="H89" s="45">
        <v>391</v>
      </c>
      <c r="I89" s="45">
        <v>104</v>
      </c>
      <c r="J89" s="45">
        <v>4</v>
      </c>
      <c r="K89" s="45">
        <v>1</v>
      </c>
      <c r="L89" s="45">
        <v>97</v>
      </c>
      <c r="M89" s="45">
        <v>104</v>
      </c>
      <c r="N89" s="45">
        <v>0.17299999999999999</v>
      </c>
      <c r="O89" s="45">
        <v>0</v>
      </c>
      <c r="P89" s="45">
        <v>0.96330000000000005</v>
      </c>
      <c r="Q89" s="45">
        <v>0.96299999999999997</v>
      </c>
      <c r="R89" s="45">
        <v>0.41399999999999998</v>
      </c>
      <c r="S89" s="45">
        <v>0.61099999999999999</v>
      </c>
      <c r="T89" s="45">
        <v>0.33300000000000002</v>
      </c>
      <c r="U89" s="45">
        <v>0.33300000000000002</v>
      </c>
      <c r="V89" s="45">
        <v>2.56</v>
      </c>
      <c r="W89" s="45">
        <v>9.6199999999999992</v>
      </c>
      <c r="X89" s="45">
        <v>0</v>
      </c>
      <c r="Y89" s="45">
        <v>0</v>
      </c>
      <c r="Z89" s="45">
        <v>0</v>
      </c>
      <c r="AA89" s="45">
        <v>0</v>
      </c>
      <c r="AB89" s="50" t="str">
        <f t="shared" si="10"/>
        <v>V3</v>
      </c>
      <c r="AC89" s="50" t="str">
        <f t="shared" si="11"/>
        <v>동률</v>
      </c>
      <c r="AD89" s="47" t="s">
        <v>267</v>
      </c>
    </row>
    <row r="90" spans="1:30" ht="42" customHeight="1">
      <c r="A90" s="45" t="s">
        <v>630</v>
      </c>
      <c r="B90" s="46" t="s">
        <v>631</v>
      </c>
      <c r="C90" s="46" t="s">
        <v>632</v>
      </c>
      <c r="D90" s="52" t="s">
        <v>633</v>
      </c>
      <c r="E90" s="49" t="s">
        <v>634</v>
      </c>
      <c r="F90" s="50">
        <f t="shared" si="8"/>
        <v>1</v>
      </c>
      <c r="G90" s="50">
        <f t="shared" si="9"/>
        <v>1</v>
      </c>
      <c r="H90" s="45">
        <v>661</v>
      </c>
      <c r="I90" s="45">
        <v>104</v>
      </c>
      <c r="J90" s="45">
        <v>6</v>
      </c>
      <c r="K90" s="45">
        <v>1</v>
      </c>
      <c r="L90" s="45">
        <v>109.3</v>
      </c>
      <c r="M90" s="45">
        <v>104</v>
      </c>
      <c r="N90" s="45">
        <v>0.217</v>
      </c>
      <c r="O90" s="45">
        <v>0</v>
      </c>
      <c r="P90" s="45">
        <v>0.95820000000000005</v>
      </c>
      <c r="Q90" s="45">
        <v>1</v>
      </c>
      <c r="R90" s="45">
        <v>0.26900000000000002</v>
      </c>
      <c r="S90" s="45">
        <v>1</v>
      </c>
      <c r="T90" s="45">
        <v>0.75</v>
      </c>
      <c r="U90" s="45">
        <v>0</v>
      </c>
      <c r="V90" s="45">
        <v>3.03</v>
      </c>
      <c r="W90" s="45">
        <v>0</v>
      </c>
      <c r="X90" s="45">
        <v>0</v>
      </c>
      <c r="Y90" s="45">
        <v>0</v>
      </c>
      <c r="Z90" s="45">
        <v>0</v>
      </c>
      <c r="AA90" s="45">
        <v>0</v>
      </c>
      <c r="AB90" s="50" t="str">
        <f t="shared" si="10"/>
        <v>V3</v>
      </c>
      <c r="AC90" s="50" t="str">
        <f t="shared" si="11"/>
        <v>V2</v>
      </c>
      <c r="AD90" s="47" t="s">
        <v>252</v>
      </c>
    </row>
    <row r="91" spans="1:30" ht="42" customHeight="1">
      <c r="A91" s="45" t="s">
        <v>635</v>
      </c>
      <c r="B91" s="46" t="s">
        <v>636</v>
      </c>
      <c r="C91" s="46" t="s">
        <v>637</v>
      </c>
      <c r="D91" s="48" t="s">
        <v>638</v>
      </c>
      <c r="E91" s="49" t="s">
        <v>639</v>
      </c>
      <c r="F91" s="50">
        <f t="shared" si="8"/>
        <v>1</v>
      </c>
      <c r="G91" s="50">
        <f t="shared" si="9"/>
        <v>1</v>
      </c>
      <c r="H91" s="45">
        <v>509</v>
      </c>
      <c r="I91" s="45">
        <v>283</v>
      </c>
      <c r="J91" s="45">
        <v>5</v>
      </c>
      <c r="K91" s="45">
        <v>3</v>
      </c>
      <c r="L91" s="45">
        <v>101</v>
      </c>
      <c r="M91" s="45">
        <v>93.7</v>
      </c>
      <c r="N91" s="45">
        <v>0.28299999999999997</v>
      </c>
      <c r="O91" s="45">
        <v>0.14199999999999999</v>
      </c>
      <c r="P91" s="45">
        <v>0.93930000000000002</v>
      </c>
      <c r="Q91" s="45">
        <v>0.91779999999999995</v>
      </c>
      <c r="R91" s="45">
        <v>0.40500000000000003</v>
      </c>
      <c r="S91" s="45">
        <v>0.68300000000000005</v>
      </c>
      <c r="T91" s="45">
        <v>0</v>
      </c>
      <c r="U91" s="45">
        <v>0.25</v>
      </c>
      <c r="V91" s="45">
        <v>1.96</v>
      </c>
      <c r="W91" s="45">
        <v>3.53</v>
      </c>
      <c r="X91" s="45">
        <v>3</v>
      </c>
      <c r="Y91" s="45">
        <v>3</v>
      </c>
      <c r="Z91" s="45">
        <v>0</v>
      </c>
      <c r="AA91" s="45">
        <v>0</v>
      </c>
      <c r="AB91" s="50" t="str">
        <f t="shared" si="10"/>
        <v>V3</v>
      </c>
      <c r="AC91" s="50" t="str">
        <f t="shared" si="11"/>
        <v>V3</v>
      </c>
      <c r="AD91" s="47" t="s">
        <v>252</v>
      </c>
    </row>
    <row r="92" spans="1:30" ht="42" customHeight="1">
      <c r="A92" s="45" t="s">
        <v>640</v>
      </c>
      <c r="B92" s="46" t="s">
        <v>641</v>
      </c>
      <c r="C92" s="46" t="s">
        <v>642</v>
      </c>
      <c r="D92" s="48" t="s">
        <v>643</v>
      </c>
      <c r="E92" s="49" t="s">
        <v>644</v>
      </c>
      <c r="F92" s="50">
        <f t="shared" si="8"/>
        <v>1</v>
      </c>
      <c r="G92" s="50">
        <f t="shared" si="9"/>
        <v>1</v>
      </c>
      <c r="H92" s="45">
        <v>570</v>
      </c>
      <c r="I92" s="45">
        <v>190</v>
      </c>
      <c r="J92" s="45">
        <v>5</v>
      </c>
      <c r="K92" s="45">
        <v>2</v>
      </c>
      <c r="L92" s="45">
        <v>113.2</v>
      </c>
      <c r="M92" s="45">
        <v>94.5</v>
      </c>
      <c r="N92" s="45">
        <v>0.26</v>
      </c>
      <c r="O92" s="45">
        <v>4.8000000000000001E-2</v>
      </c>
      <c r="P92" s="45">
        <v>0.9607</v>
      </c>
      <c r="Q92" s="45">
        <v>0.86670000000000003</v>
      </c>
      <c r="R92" s="45">
        <v>0.39500000000000002</v>
      </c>
      <c r="S92" s="45">
        <v>0.66900000000000004</v>
      </c>
      <c r="T92" s="45">
        <v>0.66700000000000004</v>
      </c>
      <c r="U92" s="45">
        <v>0.33300000000000002</v>
      </c>
      <c r="V92" s="45">
        <v>0</v>
      </c>
      <c r="W92" s="45">
        <v>5.26</v>
      </c>
      <c r="X92" s="45">
        <v>93</v>
      </c>
      <c r="Y92" s="45">
        <v>0</v>
      </c>
      <c r="Z92" s="45">
        <v>0</v>
      </c>
      <c r="AA92" s="45">
        <v>0</v>
      </c>
      <c r="AB92" s="50" t="str">
        <f t="shared" si="10"/>
        <v>V3</v>
      </c>
      <c r="AC92" s="50" t="str">
        <f t="shared" si="11"/>
        <v>V2</v>
      </c>
      <c r="AD92" s="47" t="s">
        <v>225</v>
      </c>
    </row>
    <row r="93" spans="1:30" ht="42" customHeight="1">
      <c r="A93" s="45" t="s">
        <v>645</v>
      </c>
      <c r="B93" s="46" t="s">
        <v>646</v>
      </c>
      <c r="C93" s="46" t="s">
        <v>647</v>
      </c>
      <c r="D93" s="48" t="s">
        <v>648</v>
      </c>
      <c r="E93" s="51"/>
      <c r="F93" s="50">
        <f t="shared" si="8"/>
        <v>1</v>
      </c>
      <c r="G93" s="50">
        <f t="shared" si="9"/>
        <v>0</v>
      </c>
      <c r="H93" s="45">
        <v>718</v>
      </c>
      <c r="I93" s="45">
        <v>0</v>
      </c>
      <c r="J93" s="45">
        <v>6</v>
      </c>
      <c r="K93" s="45">
        <v>0</v>
      </c>
      <c r="L93" s="45">
        <v>118.8</v>
      </c>
      <c r="M93" s="45">
        <v>0</v>
      </c>
      <c r="N93" s="45">
        <v>0.188</v>
      </c>
      <c r="O93" s="45">
        <v>0</v>
      </c>
      <c r="P93" s="45">
        <v>0.98319999999999996</v>
      </c>
      <c r="Q93" s="45">
        <v>0</v>
      </c>
      <c r="R93" s="45">
        <v>0.32100000000000001</v>
      </c>
      <c r="S93" s="45">
        <v>0</v>
      </c>
      <c r="T93" s="45">
        <v>1</v>
      </c>
      <c r="U93" s="45">
        <v>0</v>
      </c>
      <c r="V93" s="45">
        <v>6.96</v>
      </c>
      <c r="W93" s="45">
        <v>0</v>
      </c>
      <c r="X93" s="45">
        <v>0</v>
      </c>
      <c r="Y93" s="45">
        <v>0</v>
      </c>
      <c r="Z93" s="45">
        <v>0</v>
      </c>
      <c r="AA93" s="45">
        <v>0</v>
      </c>
      <c r="AB93" s="50" t="str">
        <f t="shared" si="10"/>
        <v>비교불가</v>
      </c>
      <c r="AC93" s="50" t="str">
        <f t="shared" si="11"/>
        <v>비교불가</v>
      </c>
      <c r="AD93" s="47" t="s">
        <v>256</v>
      </c>
    </row>
    <row r="94" spans="1:30" ht="42" customHeight="1">
      <c r="A94" s="45" t="s">
        <v>649</v>
      </c>
      <c r="B94" s="46" t="s">
        <v>650</v>
      </c>
      <c r="C94" s="46" t="s">
        <v>651</v>
      </c>
      <c r="D94" s="48" t="s">
        <v>652</v>
      </c>
      <c r="E94" s="49" t="s">
        <v>653</v>
      </c>
      <c r="F94" s="50">
        <f t="shared" si="8"/>
        <v>1</v>
      </c>
      <c r="G94" s="50">
        <f t="shared" si="9"/>
        <v>1</v>
      </c>
      <c r="H94" s="45">
        <v>324</v>
      </c>
      <c r="I94" s="45">
        <v>153</v>
      </c>
      <c r="J94" s="45">
        <v>4</v>
      </c>
      <c r="K94" s="45">
        <v>2</v>
      </c>
      <c r="L94" s="45">
        <v>80.2</v>
      </c>
      <c r="M94" s="45">
        <v>76</v>
      </c>
      <c r="N94" s="45">
        <v>0.23899999999999999</v>
      </c>
      <c r="O94" s="45">
        <v>0.158</v>
      </c>
      <c r="P94" s="45">
        <v>0.97799999999999998</v>
      </c>
      <c r="Q94" s="45">
        <v>0.97060000000000002</v>
      </c>
      <c r="R94" s="45">
        <v>0.32200000000000001</v>
      </c>
      <c r="S94" s="45">
        <v>0.68100000000000005</v>
      </c>
      <c r="T94" s="45">
        <v>1</v>
      </c>
      <c r="U94" s="45">
        <v>0.75</v>
      </c>
      <c r="V94" s="45">
        <v>15.43</v>
      </c>
      <c r="W94" s="45">
        <v>13.07</v>
      </c>
      <c r="X94" s="45">
        <v>0</v>
      </c>
      <c r="Y94" s="45">
        <v>0</v>
      </c>
      <c r="Z94" s="45">
        <v>0</v>
      </c>
      <c r="AA94" s="45">
        <v>0</v>
      </c>
      <c r="AB94" s="50" t="str">
        <f t="shared" si="10"/>
        <v>V3</v>
      </c>
      <c r="AC94" s="50" t="str">
        <f t="shared" si="11"/>
        <v>V2</v>
      </c>
      <c r="AD94" s="47" t="s">
        <v>252</v>
      </c>
    </row>
    <row r="95" spans="1:30" ht="42" customHeight="1">
      <c r="A95" s="45" t="s">
        <v>654</v>
      </c>
      <c r="B95" s="46" t="s">
        <v>655</v>
      </c>
      <c r="C95" s="46" t="s">
        <v>656</v>
      </c>
      <c r="D95" s="48" t="s">
        <v>657</v>
      </c>
      <c r="E95" s="51"/>
      <c r="F95" s="50">
        <f t="shared" si="8"/>
        <v>1</v>
      </c>
      <c r="G95" s="50">
        <f t="shared" si="9"/>
        <v>0</v>
      </c>
      <c r="H95" s="45">
        <v>471</v>
      </c>
      <c r="I95" s="45">
        <v>0</v>
      </c>
      <c r="J95" s="45">
        <v>5</v>
      </c>
      <c r="K95" s="45">
        <v>0</v>
      </c>
      <c r="L95" s="45">
        <v>93.4</v>
      </c>
      <c r="M95" s="45">
        <v>0</v>
      </c>
      <c r="N95" s="45">
        <v>0.22600000000000001</v>
      </c>
      <c r="O95" s="45">
        <v>0</v>
      </c>
      <c r="P95" s="45">
        <v>0.97430000000000005</v>
      </c>
      <c r="Q95" s="45">
        <v>0</v>
      </c>
      <c r="R95" s="45">
        <v>0.27100000000000002</v>
      </c>
      <c r="S95" s="45">
        <v>0</v>
      </c>
      <c r="T95" s="45">
        <v>1</v>
      </c>
      <c r="U95" s="45">
        <v>0</v>
      </c>
      <c r="V95" s="45">
        <v>2.12</v>
      </c>
      <c r="W95" s="45">
        <v>0</v>
      </c>
      <c r="X95" s="45">
        <v>6</v>
      </c>
      <c r="Y95" s="45">
        <v>0</v>
      </c>
      <c r="Z95" s="45">
        <v>0</v>
      </c>
      <c r="AA95" s="45">
        <v>0</v>
      </c>
      <c r="AB95" s="50" t="str">
        <f t="shared" si="10"/>
        <v>비교불가</v>
      </c>
      <c r="AC95" s="50" t="str">
        <f t="shared" si="11"/>
        <v>비교불가</v>
      </c>
      <c r="AD95" s="47" t="s">
        <v>256</v>
      </c>
    </row>
    <row r="96" spans="1:30" ht="42" customHeight="1">
      <c r="A96" s="45" t="s">
        <v>658</v>
      </c>
      <c r="B96" s="46" t="s">
        <v>659</v>
      </c>
      <c r="C96" s="46" t="s">
        <v>660</v>
      </c>
      <c r="D96" s="48" t="s">
        <v>661</v>
      </c>
      <c r="E96" s="49" t="s">
        <v>662</v>
      </c>
      <c r="F96" s="50">
        <f t="shared" si="8"/>
        <v>1</v>
      </c>
      <c r="G96" s="50">
        <f t="shared" si="9"/>
        <v>1</v>
      </c>
      <c r="H96" s="45">
        <v>434</v>
      </c>
      <c r="I96" s="45">
        <v>243</v>
      </c>
      <c r="J96" s="45">
        <v>4</v>
      </c>
      <c r="K96" s="45">
        <v>2</v>
      </c>
      <c r="L96" s="45">
        <v>107.8</v>
      </c>
      <c r="M96" s="45">
        <v>121</v>
      </c>
      <c r="N96" s="45">
        <v>0.34699999999999998</v>
      </c>
      <c r="O96" s="45">
        <v>0.30599999999999999</v>
      </c>
      <c r="P96" s="45">
        <v>0.95040000000000002</v>
      </c>
      <c r="Q96" s="45">
        <v>0.91449999999999998</v>
      </c>
      <c r="R96" s="45">
        <v>0.41</v>
      </c>
      <c r="S96" s="45">
        <v>0.51500000000000001</v>
      </c>
      <c r="T96" s="45">
        <v>0.75</v>
      </c>
      <c r="U96" s="45">
        <v>0.5</v>
      </c>
      <c r="V96" s="45">
        <v>2.2999999999999998</v>
      </c>
      <c r="W96" s="45">
        <v>0</v>
      </c>
      <c r="X96" s="45">
        <v>12</v>
      </c>
      <c r="Y96" s="45">
        <v>0</v>
      </c>
      <c r="Z96" s="45">
        <v>1</v>
      </c>
      <c r="AA96" s="45">
        <v>0</v>
      </c>
      <c r="AB96" s="50" t="str">
        <f t="shared" si="10"/>
        <v>V3</v>
      </c>
      <c r="AC96" s="50" t="str">
        <f t="shared" si="11"/>
        <v>V2</v>
      </c>
      <c r="AD96" s="47" t="s">
        <v>663</v>
      </c>
    </row>
  </sheetData>
  <phoneticPr fontId="3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zoomScaleNormal="100" workbookViewId="0"/>
  </sheetViews>
  <sheetFormatPr defaultColWidth="8.6328125" defaultRowHeight="14.5"/>
  <cols>
    <col min="1" max="2" width="22" customWidth="1"/>
    <col min="3" max="4" width="58" customWidth="1"/>
    <col min="5" max="5" width="50" customWidth="1"/>
  </cols>
  <sheetData>
    <row r="1" spans="1:5" ht="18" customHeight="1">
      <c r="A1" s="24" t="s">
        <v>664</v>
      </c>
      <c r="B1" s="13"/>
      <c r="C1" s="13"/>
      <c r="D1" s="13"/>
      <c r="E1" s="13"/>
    </row>
    <row r="2" spans="1:5" ht="15" customHeight="1">
      <c r="A2" s="13"/>
      <c r="B2" s="13"/>
      <c r="C2" s="13"/>
      <c r="D2" s="13"/>
      <c r="E2" s="13"/>
    </row>
    <row r="3" spans="1:5" ht="33.75" customHeight="1">
      <c r="A3" s="27" t="s">
        <v>665</v>
      </c>
      <c r="B3" s="27" t="s">
        <v>666</v>
      </c>
      <c r="C3" s="34" t="s">
        <v>176</v>
      </c>
      <c r="D3" s="34" t="s">
        <v>177</v>
      </c>
      <c r="E3" s="27" t="s">
        <v>667</v>
      </c>
    </row>
    <row r="4" spans="1:5" ht="150" customHeight="1">
      <c r="A4" s="53" t="s">
        <v>668</v>
      </c>
      <c r="B4" s="53" t="s">
        <v>669</v>
      </c>
      <c r="C4" s="54" t="s">
        <v>304</v>
      </c>
      <c r="D4" s="55" t="s">
        <v>305</v>
      </c>
      <c r="E4" s="53" t="s">
        <v>670</v>
      </c>
    </row>
    <row r="5" spans="1:5" ht="150" customHeight="1">
      <c r="A5" s="53" t="s">
        <v>671</v>
      </c>
      <c r="B5" s="53" t="s">
        <v>672</v>
      </c>
      <c r="C5" s="54" t="s">
        <v>206</v>
      </c>
      <c r="D5" s="55" t="s">
        <v>207</v>
      </c>
      <c r="E5" s="53" t="s">
        <v>673</v>
      </c>
    </row>
    <row r="6" spans="1:5" ht="150" customHeight="1">
      <c r="A6" s="53" t="s">
        <v>674</v>
      </c>
      <c r="B6" s="53" t="s">
        <v>675</v>
      </c>
      <c r="C6" s="54" t="s">
        <v>511</v>
      </c>
      <c r="D6" s="55" t="s">
        <v>512</v>
      </c>
      <c r="E6" s="56" t="s">
        <v>676</v>
      </c>
    </row>
    <row r="7" spans="1:5" ht="150" customHeight="1">
      <c r="A7" s="53" t="s">
        <v>677</v>
      </c>
      <c r="B7" s="53" t="s">
        <v>678</v>
      </c>
      <c r="C7" s="54" t="s">
        <v>421</v>
      </c>
      <c r="D7" s="55" t="s">
        <v>422</v>
      </c>
      <c r="E7" s="53" t="s">
        <v>679</v>
      </c>
    </row>
    <row r="8" spans="1:5" ht="150" customHeight="1">
      <c r="A8" s="53" t="s">
        <v>680</v>
      </c>
      <c r="B8" s="53" t="s">
        <v>681</v>
      </c>
      <c r="C8" s="54" t="s">
        <v>260</v>
      </c>
      <c r="D8" s="57" t="s">
        <v>682</v>
      </c>
      <c r="E8" s="53" t="s">
        <v>683</v>
      </c>
    </row>
    <row r="9" spans="1:5" ht="150" customHeight="1">
      <c r="A9" s="53" t="s">
        <v>684</v>
      </c>
      <c r="B9" s="53" t="s">
        <v>685</v>
      </c>
      <c r="C9" s="54" t="s">
        <v>496</v>
      </c>
      <c r="D9" s="55" t="s">
        <v>497</v>
      </c>
      <c r="E9" s="53" t="s">
        <v>686</v>
      </c>
    </row>
  </sheetData>
  <phoneticPr fontId="30"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
  <sheetViews>
    <sheetView showGridLines="0" zoomScaleNormal="100" workbookViewId="0">
      <selection activeCell="H7" sqref="H7"/>
    </sheetView>
  </sheetViews>
  <sheetFormatPr defaultColWidth="8.6328125" defaultRowHeight="14.5"/>
  <cols>
    <col min="1" max="1" width="30" customWidth="1"/>
    <col min="2" max="2" width="20" customWidth="1"/>
    <col min="3" max="3" width="44" customWidth="1"/>
    <col min="4" max="4" width="40" customWidth="1"/>
    <col min="5" max="5" width="44" customWidth="1"/>
    <col min="6" max="6" width="14" customWidth="1"/>
  </cols>
  <sheetData>
    <row r="1" spans="1:6" ht="25.5">
      <c r="A1" s="12" t="s">
        <v>687</v>
      </c>
    </row>
    <row r="2" spans="1:6" ht="16">
      <c r="A2" s="6" t="s">
        <v>688</v>
      </c>
      <c r="B2" s="6"/>
      <c r="C2" s="6"/>
      <c r="D2" s="6"/>
      <c r="E2" s="6"/>
      <c r="F2" s="6"/>
    </row>
    <row r="4" spans="1:6" ht="21.75" customHeight="1">
      <c r="A4" s="58" t="s">
        <v>689</v>
      </c>
      <c r="B4" s="59"/>
      <c r="C4" s="59"/>
      <c r="D4" s="59"/>
      <c r="E4" s="59"/>
      <c r="F4" s="59"/>
    </row>
    <row r="5" spans="1:6" ht="31.5" customHeight="1">
      <c r="A5" s="5" t="s">
        <v>690</v>
      </c>
      <c r="B5" s="5"/>
      <c r="C5" s="5"/>
      <c r="D5" s="5"/>
      <c r="E5" s="5"/>
      <c r="F5" s="5"/>
    </row>
    <row r="6" spans="1:6" ht="27.75" customHeight="1">
      <c r="A6" s="60" t="s">
        <v>691</v>
      </c>
      <c r="B6" s="60" t="s">
        <v>692</v>
      </c>
      <c r="C6" s="60" t="s">
        <v>693</v>
      </c>
      <c r="D6" s="60" t="s">
        <v>694</v>
      </c>
      <c r="E6" s="60" t="s">
        <v>695</v>
      </c>
    </row>
    <row r="7" spans="1:6" ht="72" customHeight="1">
      <c r="A7" s="61" t="s">
        <v>696</v>
      </c>
      <c r="B7" s="53" t="s">
        <v>697</v>
      </c>
      <c r="C7" s="53" t="s">
        <v>698</v>
      </c>
      <c r="D7" s="53" t="s">
        <v>699</v>
      </c>
      <c r="E7" s="62" t="s">
        <v>700</v>
      </c>
    </row>
    <row r="8" spans="1:6" ht="72" customHeight="1">
      <c r="A8" s="61" t="s">
        <v>701</v>
      </c>
      <c r="B8" s="53" t="s">
        <v>702</v>
      </c>
      <c r="C8" s="53" t="s">
        <v>703</v>
      </c>
      <c r="D8" s="53" t="s">
        <v>704</v>
      </c>
      <c r="E8" s="62" t="s">
        <v>705</v>
      </c>
    </row>
    <row r="10" spans="1:6" ht="21.75" customHeight="1">
      <c r="A10" s="58" t="s">
        <v>706</v>
      </c>
      <c r="B10" s="59"/>
      <c r="C10" s="59"/>
      <c r="D10" s="59"/>
      <c r="E10" s="59"/>
      <c r="F10" s="59"/>
    </row>
    <row r="11" spans="1:6" ht="31.5" customHeight="1">
      <c r="A11" s="4" t="s">
        <v>707</v>
      </c>
      <c r="B11" s="4"/>
      <c r="C11" s="4"/>
      <c r="D11" s="4"/>
      <c r="E11" s="4"/>
      <c r="F11" s="4"/>
    </row>
    <row r="12" spans="1:6" ht="27.75" customHeight="1">
      <c r="A12" s="60" t="s">
        <v>691</v>
      </c>
      <c r="B12" s="60" t="s">
        <v>692</v>
      </c>
      <c r="C12" s="60" t="s">
        <v>693</v>
      </c>
      <c r="D12" s="60" t="s">
        <v>694</v>
      </c>
      <c r="E12" s="60" t="s">
        <v>695</v>
      </c>
    </row>
    <row r="13" spans="1:6" ht="75.75" customHeight="1">
      <c r="A13" s="61" t="s">
        <v>708</v>
      </c>
      <c r="B13" s="53" t="s">
        <v>709</v>
      </c>
      <c r="C13" s="53" t="s">
        <v>710</v>
      </c>
      <c r="D13" s="53" t="s">
        <v>711</v>
      </c>
      <c r="E13" s="62" t="s">
        <v>712</v>
      </c>
    </row>
    <row r="14" spans="1:6" ht="60" customHeight="1">
      <c r="A14" s="61" t="s">
        <v>713</v>
      </c>
      <c r="B14" s="53" t="s">
        <v>714</v>
      </c>
      <c r="C14" s="53" t="s">
        <v>715</v>
      </c>
      <c r="D14" s="62" t="s">
        <v>716</v>
      </c>
      <c r="E14" s="62" t="s">
        <v>717</v>
      </c>
    </row>
    <row r="15" spans="1:6" ht="84" customHeight="1">
      <c r="A15" s="61" t="s">
        <v>718</v>
      </c>
      <c r="B15" s="53" t="s">
        <v>719</v>
      </c>
      <c r="C15" s="53" t="s">
        <v>720</v>
      </c>
      <c r="D15" s="62" t="s">
        <v>721</v>
      </c>
      <c r="E15" s="62" t="s">
        <v>722</v>
      </c>
    </row>
    <row r="17" spans="1:6" ht="19.5" customHeight="1">
      <c r="A17" s="3" t="s">
        <v>723</v>
      </c>
      <c r="B17" s="3"/>
      <c r="C17" s="3"/>
      <c r="D17" s="3"/>
      <c r="E17" s="3"/>
    </row>
    <row r="18" spans="1:6" ht="51.75" customHeight="1">
      <c r="A18" s="2" t="s">
        <v>724</v>
      </c>
      <c r="B18" s="2"/>
      <c r="C18" s="2"/>
      <c r="D18" s="2"/>
      <c r="E18" s="2"/>
    </row>
    <row r="20" spans="1:6" ht="21.75" customHeight="1">
      <c r="A20" s="58" t="s">
        <v>725</v>
      </c>
      <c r="B20" s="59"/>
      <c r="C20" s="59"/>
      <c r="D20" s="59"/>
      <c r="E20" s="59"/>
      <c r="F20" s="59"/>
    </row>
    <row r="21" spans="1:6" ht="31.5" customHeight="1">
      <c r="A21" s="4" t="s">
        <v>726</v>
      </c>
      <c r="B21" s="4"/>
      <c r="C21" s="4"/>
      <c r="D21" s="4"/>
      <c r="E21" s="4"/>
      <c r="F21" s="4"/>
    </row>
    <row r="22" spans="1:6" ht="27.75" customHeight="1">
      <c r="A22" s="60" t="s">
        <v>691</v>
      </c>
      <c r="B22" s="60" t="s">
        <v>692</v>
      </c>
      <c r="C22" s="60" t="s">
        <v>693</v>
      </c>
      <c r="D22" s="60" t="s">
        <v>694</v>
      </c>
      <c r="E22" s="60" t="s">
        <v>695</v>
      </c>
    </row>
    <row r="23" spans="1:6" ht="91.5" customHeight="1">
      <c r="A23" s="61" t="s">
        <v>760</v>
      </c>
      <c r="B23" s="53" t="s">
        <v>727</v>
      </c>
      <c r="C23" s="53" t="s">
        <v>728</v>
      </c>
      <c r="D23" s="53" t="s">
        <v>729</v>
      </c>
      <c r="E23" s="62" t="s">
        <v>730</v>
      </c>
    </row>
    <row r="25" spans="1:6" ht="21.75" customHeight="1">
      <c r="A25" s="58" t="s">
        <v>731</v>
      </c>
      <c r="B25" s="59"/>
      <c r="C25" s="59"/>
      <c r="D25" s="59"/>
      <c r="E25" s="59"/>
      <c r="F25" s="59"/>
    </row>
    <row r="26" spans="1:6" ht="31.5" customHeight="1">
      <c r="A26" s="5" t="s">
        <v>732</v>
      </c>
      <c r="B26" s="5"/>
      <c r="C26" s="5"/>
      <c r="D26" s="5"/>
      <c r="E26" s="5"/>
      <c r="F26" s="5"/>
    </row>
    <row r="27" spans="1:6" ht="27.75" customHeight="1">
      <c r="A27" s="60" t="s">
        <v>123</v>
      </c>
      <c r="B27" s="60" t="s">
        <v>733</v>
      </c>
      <c r="C27" s="60" t="s">
        <v>734</v>
      </c>
    </row>
    <row r="28" spans="1:6" ht="75.75" customHeight="1">
      <c r="A28" s="63" t="s">
        <v>735</v>
      </c>
      <c r="B28" s="64" t="s">
        <v>759</v>
      </c>
      <c r="C28" s="62" t="s">
        <v>736</v>
      </c>
    </row>
    <row r="29" spans="1:6" ht="75.75" customHeight="1">
      <c r="A29" s="63" t="s">
        <v>737</v>
      </c>
      <c r="B29" s="62" t="s">
        <v>738</v>
      </c>
      <c r="C29" s="62" t="s">
        <v>739</v>
      </c>
    </row>
    <row r="30" spans="1:6" ht="75.75" customHeight="1">
      <c r="A30" s="63" t="s">
        <v>740</v>
      </c>
      <c r="B30" s="62" t="s">
        <v>741</v>
      </c>
      <c r="C30" s="53" t="s">
        <v>742</v>
      </c>
    </row>
    <row r="31" spans="1:6" ht="63.75" customHeight="1">
      <c r="A31" s="63" t="s">
        <v>743</v>
      </c>
      <c r="B31" s="53" t="s">
        <v>744</v>
      </c>
      <c r="C31" s="62" t="s">
        <v>745</v>
      </c>
    </row>
    <row r="33" spans="1:6" ht="21.75" customHeight="1">
      <c r="A33" s="58" t="s">
        <v>746</v>
      </c>
      <c r="B33" s="59"/>
      <c r="C33" s="59"/>
      <c r="D33" s="59"/>
      <c r="E33" s="59"/>
      <c r="F33" s="59"/>
    </row>
    <row r="34" spans="1:6" ht="27.75" customHeight="1">
      <c r="A34" s="60" t="s">
        <v>747</v>
      </c>
      <c r="B34" s="60" t="s">
        <v>748</v>
      </c>
      <c r="C34" s="60"/>
      <c r="D34" s="60"/>
      <c r="E34" s="60"/>
    </row>
    <row r="35" spans="1:6" ht="67.5" customHeight="1">
      <c r="A35" s="63" t="s">
        <v>749</v>
      </c>
      <c r="B35" s="1" t="s">
        <v>750</v>
      </c>
      <c r="C35" s="1"/>
      <c r="D35" s="1"/>
      <c r="E35" s="1"/>
    </row>
    <row r="36" spans="1:6" ht="55.5" customHeight="1">
      <c r="A36" s="63" t="s">
        <v>751</v>
      </c>
      <c r="B36" s="1" t="s">
        <v>752</v>
      </c>
      <c r="C36" s="1"/>
      <c r="D36" s="1"/>
      <c r="E36" s="1"/>
    </row>
    <row r="37" spans="1:6" ht="67.5" customHeight="1">
      <c r="A37" s="63" t="s">
        <v>753</v>
      </c>
      <c r="B37" s="1" t="s">
        <v>754</v>
      </c>
      <c r="C37" s="1"/>
      <c r="D37" s="1"/>
      <c r="E37" s="1"/>
    </row>
    <row r="38" spans="1:6" ht="55.5" customHeight="1">
      <c r="A38" s="63" t="s">
        <v>755</v>
      </c>
      <c r="B38" s="1" t="s">
        <v>756</v>
      </c>
      <c r="C38" s="1"/>
      <c r="D38" s="1"/>
      <c r="E38" s="1"/>
    </row>
    <row r="39" spans="1:6" ht="55.5" customHeight="1">
      <c r="A39" s="63" t="s">
        <v>757</v>
      </c>
      <c r="B39" s="1" t="s">
        <v>758</v>
      </c>
      <c r="C39" s="1"/>
      <c r="D39" s="1"/>
      <c r="E39" s="1"/>
    </row>
  </sheetData>
  <mergeCells count="12">
    <mergeCell ref="B38:E38"/>
    <mergeCell ref="B39:E39"/>
    <mergeCell ref="A21:F21"/>
    <mergeCell ref="A26:F26"/>
    <mergeCell ref="B35:E35"/>
    <mergeCell ref="B36:E36"/>
    <mergeCell ref="B37:E37"/>
    <mergeCell ref="A2:F2"/>
    <mergeCell ref="A5:F5"/>
    <mergeCell ref="A11:F11"/>
    <mergeCell ref="A17:E17"/>
    <mergeCell ref="A18:E18"/>
  </mergeCells>
  <phoneticPr fontId="3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00_결론요약</vt:lpstr>
      <vt:lpstr>01_평가기준</vt:lpstr>
      <vt:lpstr>02_종합비교</vt:lpstr>
      <vt:lpstr>03_지표실측</vt:lpstr>
      <vt:lpstr>04_항목별비교</vt:lpstr>
      <vt:lpstr>05_대표사례</vt:lpstr>
      <vt:lpstr>06_Appendix_출처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은효 김</cp:lastModifiedBy>
  <cp:revision>0</cp:revision>
  <dcterms:created xsi:type="dcterms:W3CDTF">2026-08-14T03:18:13Z</dcterms:created>
  <dcterms:modified xsi:type="dcterms:W3CDTF">2026-08-14T05:03:51Z</dcterms:modified>
  <dc:language>en-US</dc:language>
</cp:coreProperties>
</file>