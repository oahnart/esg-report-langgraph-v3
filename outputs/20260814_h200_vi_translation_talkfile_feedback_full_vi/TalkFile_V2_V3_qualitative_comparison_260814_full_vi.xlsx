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843ac99ba04474" /></Relationships>
</file>

<file path=xl/workbook.xml><?xml version="1.0" encoding="utf-8"?>
<x:workbook xmlns:x="http://schemas.openxmlformats.org/spreadsheetml/2006/main">
  <x:sheets>
    <x:sheet xmlns:r="http://schemas.openxmlformats.org/officeDocument/2006/relationships" name="00_Tom_tat_ket_luan" sheetId="1" r:id="R0c0b78ea6ea040a3"/>
    <x:sheet xmlns:r="http://schemas.openxmlformats.org/officeDocument/2006/relationships" name="01_Tieu_chi_danh_gia" sheetId="2" r:id="R232624c3ce18427e"/>
    <x:sheet xmlns:r="http://schemas.openxmlformats.org/officeDocument/2006/relationships" name="02_So_sanh_tong_hop" sheetId="3" r:id="R14c2c6318ccb48c5"/>
    <x:sheet xmlns:r="http://schemas.openxmlformats.org/officeDocument/2006/relationships" name="03_Chi_so_thuc_do" sheetId="4" r:id="R6be86d7dfbf24fa6"/>
    <x:sheet xmlns:r="http://schemas.openxmlformats.org/officeDocument/2006/relationships" name="04_So_sanh_theo_muc" sheetId="5" r:id="R66fee0c2cd7240b4"/>
    <x:sheet xmlns:r="http://schemas.openxmlformats.org/officeDocument/2006/relationships" name="05_Truong_hop_tieu_bieu" sheetId="6" r:id="Rf913adeb766b4e73"/>
    <x:sheet xmlns:r="http://schemas.openxmlformats.org/officeDocument/2006/relationships" name="06_Appendix_Canh_bao" sheetId="7" r:id="R68b23fe8441d4e8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76" formatCode="0.0"/>
    <x:numFmt numFmtId="177" formatCode="0.000"/>
  </x:numFmts>
  <x:fonts count="33">
    <x:font>
      <x:sz val="11"/>
      <x:color theme="1"/>
      <x:name val="Calibri"/>
    </x:font>
    <x:font>
      <x:b/>
      <x:sz val="17"/>
      <x:color rgb="FF1F3864"/>
      <x:name val="맑은 고딕"/>
    </x:font>
    <x:font>
      <x:b/>
      <x:sz val="17"/>
      <x:color rgb="FF1F3864"/>
      <x:name val="Noto Sans CJK SC"/>
    </x:font>
    <x:font>
      <x:sz val="10"/>
      <x:name val="맑은 고딕"/>
    </x:font>
    <x:font>
      <x:i/>
      <x:sz val="10"/>
      <x:color rgb="FF555555"/>
      <x:name val="Noto Sans CJK SC"/>
    </x:font>
    <x:font>
      <x:b/>
      <x:sz val="12"/>
      <x:color rgb="FF1F3864"/>
      <x:name val="Noto Sans CJK SC"/>
    </x:font>
    <x:font>
      <x:sz val="10"/>
      <x:name val="Noto Sans CJK SC"/>
    </x:font>
    <x:font>
      <x:b/>
      <x:sz val="12"/>
      <x:color rgb="FF1F3864"/>
      <x:name val="맑은 고딕"/>
    </x:font>
    <x:font>
      <x:b/>
      <x:sz val="12"/>
      <x:color rgb="FF1F3864"/>
      <x:name val="Noto Sans CJK SC"/>
    </x:font>
    <x:font>
      <x:sz val="10"/>
      <x:name val="Noto Sans CJK SC"/>
    </x:font>
    <x:font>
      <x:b/>
      <x:sz val="10"/>
      <x:name val="Noto Sans CJK SC"/>
    </x:font>
    <x:font>
      <x:b/>
      <x:sz val="10"/>
      <x:name val="맑은 고딕"/>
    </x:font>
    <x:font>
      <x:b/>
      <x:sz val="15"/>
      <x:color rgb="FF1F3864"/>
      <x:name val="Noto Sans CJK SC"/>
    </x:font>
    <x:font>
      <x:i/>
      <x:sz val="10"/>
      <x:color rgb="FF555555"/>
      <x:name val="맑은 고딕"/>
    </x:font>
    <x:font>
      <x:i/>
      <x:sz val="10"/>
      <x:color rgb="FF555555"/>
      <x:name val="Noto Sans CJK SC"/>
    </x:font>
    <x:font>
      <x:b/>
      <x:sz val="10"/>
      <x:color rgb="FFFFFFFF"/>
      <x:name val="Noto Sans CJK SC"/>
    </x:font>
    <x:font>
      <x:sz val="10"/>
      <x:color rgb="FF0000FF"/>
      <x:name val="맑은 고딕"/>
    </x:font>
    <x:font>
      <x:b/>
      <x:sz val="11"/>
      <x:color rgb="FF1F3864"/>
      <x:name val="Noto Sans CJK SC"/>
    </x:font>
    <x:font>
      <x:sz val="9"/>
      <x:color rgb="FF555555"/>
      <x:name val="맑은 고딕"/>
    </x:font>
    <x:font>
      <x:sz val="9"/>
      <x:color rgb="FF555555"/>
      <x:name val="Noto Sans CJK SC"/>
    </x:font>
    <x:font>
      <x:b/>
      <x:sz val="10"/>
      <x:color rgb="FFFFFFFF"/>
      <x:name val="맑은 고딕"/>
    </x:font>
    <x:font>
      <x:b/>
      <x:sz val="10"/>
      <x:color rgb="FFFFFFFF"/>
      <x:name val="Noto Sans CJK SC"/>
    </x:font>
    <x:font>
      <x:sz val="9"/>
      <x:name val="맑은 고딕"/>
    </x:font>
    <x:font>
      <x:sz val="9"/>
      <x:name val="Noto Sans CJK SC"/>
    </x:font>
    <x:font>
      <x:sz val="9"/>
      <x:name val="Noto Sans CJK SC"/>
    </x:font>
    <x:font>
      <x:b/>
      <x:sz val="12"/>
      <x:color rgb="FFFFFFFF"/>
      <x:name val="맑은 고딕"/>
    </x:font>
    <x:font>
      <x:b/>
      <x:sz val="12"/>
      <x:color rgb="FFFFFFFF"/>
      <x:name val="Noto Sans CJK SC"/>
    </x:font>
    <x:font>
      <x:b/>
      <x:sz val="9"/>
      <x:name val="맑은 고딕"/>
    </x:font>
    <x:font>
      <x:b/>
      <x:sz val="9"/>
      <x:name val="Noto Sans CJK SC"/>
    </x:font>
    <x:font>
      <x:b/>
      <x:sz val="10"/>
      <x:color rgb="FFC00000"/>
      <x:name val="Noto Sans CJK SC"/>
    </x:font>
    <x:font>
      <x:sz val="8"/>
      <x:name val="돋움"/>
    </x:font>
    <x:font>
      <x:sz val="9"/>
      <x:name val="Arial"/>
    </x:font>
    <x:font>
      <x:sz val="9"/>
      <x:name val="Noto Sans CJK SC"/>
    </x:font>
  </x:fonts>
  <x:fills count="9">
    <x:fill>
      <x:patternFill patternType="none"/>
    </x:fill>
    <x:fill>
      <x:patternFill patternType="gray125"/>
    </x:fill>
    <x:fill>
      <x:patternFill patternType="solid">
        <x:fgColor rgb="FFD9E2F3"/>
      </x:patternFill>
    </x:fill>
    <x:fill>
      <x:patternFill patternType="solid">
        <x:fgColor rgb="FFFFF2CC"/>
      </x:patternFill>
    </x:fill>
    <x:fill>
      <x:patternFill patternType="solid">
        <x:fgColor rgb="FFE2EFDA"/>
      </x:patternFill>
    </x:fill>
    <x:fill>
      <x:patternFill patternType="solid">
        <x:fgColor rgb="FF1F3864"/>
      </x:patternFill>
    </x:fill>
    <x:fill>
      <x:patternFill patternType="solid">
        <x:fgColor rgb="FFFFFF00"/>
      </x:patternFill>
    </x:fill>
    <x:fill>
      <x:patternFill patternType="solid">
        <x:fgColor rgb="FF4472C4"/>
      </x:patternFill>
    </x:fill>
    <x:fill>
      <x:patternFill patternType="solid">
        <x:fgColor rgb="FFFCE4D6"/>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65">
    <x:xf numFmtId="0" fontId="0" fillId="0" borderId="0" xfId="0"/>
    <x:xf numFmtId="0" fontId="22" fillId="0" borderId="1" xfId="0" applyFont="1" applyBorder="1" applyAlignment="1">
      <x:alignment vertical="top" wrapText="1"/>
    </x:xf>
    <x:xf numFmtId="0" fontId="24" fillId="8" borderId="1" xfId="0" applyFont="1" applyFill="1" applyBorder="1" applyAlignment="1">
      <x:alignment vertical="top" wrapText="1"/>
    </x:xf>
    <x:xf numFmtId="0" fontId="29" fillId="8" borderId="1" xfId="0" applyFont="1" applyFill="1" applyBorder="1"/>
    <x:xf numFmtId="0" fontId="13" fillId="0" borderId="0" xfId="0" applyFont="1" applyAlignment="1">
      <x:alignment vertical="top" wrapText="1"/>
    </x:xf>
    <x:xf numFmtId="0" fontId="14" fillId="0" borderId="0" xfId="0" applyFont="1" applyAlignment="1">
      <x:alignment vertical="top" wrapText="1"/>
    </x:xf>
    <x:xf numFmtId="0" fontId="13" fillId="0" borderId="0" xfId="0" applyFont="1"/>
    <x:xf numFmtId="0" fontId="18" fillId="0" borderId="0" xfId="0" applyFont="1" applyAlignment="1">
      <x:alignment vertical="top" wrapText="1"/>
    </x:xf>
    <x:xf numFmtId="0" fontId="3" fillId="0" borderId="0" xfId="0" applyFont="1" applyAlignment="1">
      <x:alignment vertical="top" wrapText="1"/>
    </x:xf>
    <x:xf numFmtId="0" fontId="7" fillId="2" borderId="0" xfId="0" applyFont="1" applyFill="1"/>
    <x:xf numFmtId="0" fontId="6" fillId="0" borderId="0" xfId="0" applyFont="1" applyAlignment="1">
      <x:alignment vertical="top" wrapText="1"/>
    </x:xf>
    <x:xf numFmtId="0" fontId="5" fillId="2" borderId="0" xfId="0" applyFont="1" applyFill="1"/>
    <x:xf numFmtId="0" fontId="1" fillId="0" borderId="0" xfId="0" applyFont="1"/>
    <x:xf numFmtId="0" fontId="3" fillId="0" borderId="0" xfId="0" applyFont="1"/>
    <x:xf numFmtId="0" fontId="4" fillId="0" borderId="0" xfId="0" applyFont="1"/>
    <x:xf numFmtId="0" fontId="10" fillId="2" borderId="1" xfId="0" applyFont="1" applyFill="1" applyBorder="1" applyAlignment="1">
      <x:alignment horizontal="left"/>
    </x:xf>
    <x:xf numFmtId="176" fontId="11" fillId="2" borderId="1" xfId="0" applyNumberFormat="1" applyFont="1" applyFill="1" applyBorder="1" applyAlignment="1">
      <x:alignment horizontal="center"/>
    </x:xf>
    <x:xf numFmtId="0" fontId="10" fillId="2" borderId="1" xfId="0" applyFont="1" applyFill="1" applyBorder="1" applyAlignment="1">
      <x:alignment horizontal="center"/>
    </x:xf>
    <x:xf numFmtId="0" fontId="6" fillId="0" borderId="1" xfId="0" applyFont="1" applyBorder="1" applyAlignment="1">
      <x:alignment horizontal="left"/>
    </x:xf>
    <x:xf numFmtId="176" fontId="3" fillId="3" borderId="1" xfId="0" applyNumberFormat="1" applyFont="1" applyFill="1" applyBorder="1" applyAlignment="1">
      <x:alignment horizontal="center"/>
    </x:xf>
    <x:xf numFmtId="176" fontId="3" fillId="4" borderId="1" xfId="0" applyNumberFormat="1" applyFont="1" applyFill="1" applyBorder="1" applyAlignment="1">
      <x:alignment horizontal="center"/>
    </x:xf>
    <x:xf numFmtId="0" fontId="3" fillId="0" borderId="1" xfId="0" applyFont="1" applyBorder="1" applyAlignment="1">
      <x:alignment horizontal="center"/>
    </x:xf>
    <x:xf numFmtId="1" fontId="3" fillId="3" borderId="1" xfId="0" applyNumberFormat="1" applyFont="1" applyFill="1" applyBorder="1" applyAlignment="1">
      <x:alignment horizontal="center"/>
    </x:xf>
    <x:xf numFmtId="1" fontId="3" fillId="4" borderId="1" xfId="0" applyNumberFormat="1" applyFont="1" applyFill="1" applyBorder="1" applyAlignment="1">
      <x:alignment horizontal="center"/>
    </x:xf>
    <x:xf numFmtId="0" fontId="12" fillId="0" borderId="0" xfId="0" applyFont="1"/>
    <x:xf numFmtId="0" fontId="13" fillId="0" borderId="0" xfId="0" applyFont="1"/>
    <x:xf numFmtId="0" fontId="5" fillId="0" borderId="0" xfId="0" applyFont="1"/>
    <x:xf numFmtId="0" fontId="15" fillId="5" borderId="1" xfId="0" applyFont="1" applyFill="1" applyBorder="1" applyAlignment="1">
      <x:alignment horizontal="center" vertical="center" wrapText="1"/>
    </x:xf>
    <x:xf numFmtId="0" fontId="3" fillId="0" borderId="1" xfId="0" applyFont="1" applyBorder="1"/>
    <x:xf numFmtId="0" fontId="6" fillId="0" borderId="1" xfId="0" applyFont="1" applyBorder="1" applyAlignment="1">
      <x:alignment vertical="top" wrapText="1"/>
    </x:xf>
    <x:xf numFmtId="0" fontId="3" fillId="0" borderId="1" xfId="0" applyFont="1" applyBorder="1" applyAlignment="1">
      <x:alignment vertical="top" wrapText="1"/>
    </x:xf>
    <x:xf numFmtId="0" fontId="16" fillId="6" borderId="1" xfId="0" applyFont="1" applyFill="1" applyBorder="1" applyAlignment="1">
      <x:alignment horizontal="center"/>
    </x:xf>
    <x:xf numFmtId="0" fontId="10" fillId="2" borderId="0" xfId="0" applyFont="1" applyFill="1"/>
    <x:xf numFmtId="0" fontId="17" fillId="0" borderId="0" xfId="0" applyFont="1"/>
    <x:xf numFmtId="0" fontId="20" fillId="5" borderId="1" xfId="0" applyFont="1" applyFill="1" applyBorder="1" applyAlignment="1">
      <x:alignment horizontal="center" vertical="center" wrapText="1"/>
    </x:xf>
    <x:xf numFmtId="0" fontId="3" fillId="0" borderId="1" xfId="0" applyFont="1" applyBorder="1" applyAlignment="1">
      <x:alignment horizontal="left" vertical="top" wrapText="1"/>
    </x:xf>
    <x:xf numFmtId="0" fontId="3" fillId="3" borderId="1" xfId="0" applyFont="1" applyFill="1" applyBorder="1" applyAlignment="1">
      <x:alignment horizontal="center" vertical="top"/>
    </x:xf>
    <x:xf numFmtId="0" fontId="3" fillId="4" borderId="1" xfId="0" applyFont="1" applyFill="1" applyBorder="1" applyAlignment="1">
      <x:alignment horizontal="center" vertical="top"/>
    </x:xf>
    <x:xf numFmtId="0" fontId="3" fillId="0" borderId="1" xfId="0" applyFont="1" applyBorder="1" applyAlignment="1">
      <x:alignment horizontal="center" vertical="top"/>
    </x:xf>
    <x:xf numFmtId="0" fontId="6" fillId="0" borderId="1" xfId="0" applyFont="1" applyBorder="1" applyAlignment="1">
      <x:alignment horizontal="left" vertical="top" wrapText="1"/>
    </x:xf>
    <x:xf numFmtId="0" fontId="6" fillId="0" borderId="1" xfId="0" applyFont="1" applyBorder="1" applyAlignment="1">
      <x:alignment horizontal="center" vertical="top"/>
    </x:xf>
    <x:xf numFmtId="0" fontId="10" fillId="2" borderId="1" xfId="0" applyFont="1" applyFill="1" applyBorder="1"/>
    <x:xf numFmtId="1" fontId="11" fillId="2" borderId="1" xfId="0" applyNumberFormat="1" applyFont="1" applyFill="1" applyBorder="1" applyAlignment="1">
      <x:alignment horizontal="center"/>
    </x:xf>
    <x:xf numFmtId="177" fontId="3" fillId="3" borderId="1" xfId="0" applyNumberFormat="1" applyFont="1" applyFill="1" applyBorder="1" applyAlignment="1">
      <x:alignment horizontal="center" vertical="top"/>
    </x:xf>
    <x:xf numFmtId="177" fontId="3" fillId="4" borderId="1" xfId="0" applyNumberFormat="1" applyFont="1" applyFill="1" applyBorder="1" applyAlignment="1">
      <x:alignment horizontal="center" vertical="top"/>
    </x:xf>
    <x:xf numFmtId="0" fontId="22" fillId="0" borderId="1" xfId="0" applyFont="1" applyBorder="1" applyAlignment="1">
      <x:alignment horizontal="left" vertical="top"/>
    </x:xf>
    <x:xf numFmtId="0" fontId="23" fillId="0" borderId="1" xfId="0" applyFont="1" applyBorder="1" applyAlignment="1">
      <x:alignment horizontal="left" vertical="top" wrapText="1"/>
    </x:xf>
    <x:xf numFmtId="0" fontId="22" fillId="0" borderId="1" xfId="0" applyFont="1" applyBorder="1" applyAlignment="1">
      <x:alignment horizontal="left" vertical="top" wrapText="1"/>
    </x:xf>
    <x:xf numFmtId="0" fontId="23" fillId="3" borderId="1" xfId="0" applyFont="1" applyFill="1" applyBorder="1" applyAlignment="1">
      <x:alignment horizontal="left" vertical="top" wrapText="1"/>
    </x:xf>
    <x:xf numFmtId="0" fontId="23" fillId="4" borderId="1" xfId="0" applyFont="1" applyFill="1" applyBorder="1" applyAlignment="1">
      <x:alignment horizontal="left" vertical="top" wrapText="1"/>
    </x:xf>
    <x:xf numFmtId="0" fontId="22" fillId="0" borderId="1" xfId="0" applyFont="1" applyBorder="1" applyAlignment="1">
      <x:alignment horizontal="center" vertical="top"/>
    </x:xf>
    <x:xf numFmtId="0" fontId="22" fillId="4" borderId="1" xfId="0" applyFont="1" applyFill="1" applyBorder="1" applyAlignment="1">
      <x:alignment horizontal="left" vertical="top" wrapText="1"/>
    </x:xf>
    <x:xf numFmtId="0" fontId="22" fillId="3" borderId="1" xfId="0" applyFont="1" applyFill="1" applyBorder="1" applyAlignment="1">
      <x:alignment horizontal="left" vertical="top" wrapText="1"/>
    </x:xf>
    <x:xf numFmtId="0" fontId="22" fillId="0" borderId="1" xfId="0" applyFont="1" applyBorder="1" applyAlignment="1">
      <x:alignment vertical="top" wrapText="1"/>
    </x:xf>
    <x:xf numFmtId="0" fontId="23" fillId="3" borderId="1" xfId="0" applyFont="1" applyFill="1" applyBorder="1" applyAlignment="1">
      <x:alignment vertical="top" wrapText="1"/>
    </x:xf>
    <x:xf numFmtId="0" fontId="23" fillId="4" borderId="1" xfId="0" applyFont="1" applyFill="1" applyBorder="1" applyAlignment="1">
      <x:alignment vertical="top" wrapText="1"/>
    </x:xf>
    <x:xf numFmtId="0" fontId="23" fillId="0" borderId="1" xfId="0" applyFont="1" applyBorder="1" applyAlignment="1">
      <x:alignment vertical="top" wrapText="1"/>
    </x:xf>
    <x:xf numFmtId="0" fontId="22" fillId="4" borderId="1" xfId="0" applyFont="1" applyFill="1" applyBorder="1" applyAlignment="1">
      <x:alignment vertical="top" wrapText="1"/>
    </x:xf>
    <x:xf numFmtId="0" fontId="25" fillId="5" borderId="1" xfId="0" applyFont="1" applyFill="1" applyBorder="1"/>
    <x:xf numFmtId="0" fontId="0" fillId="5" borderId="1" xfId="0" applyFill="1" applyBorder="1"/>
    <x:xf numFmtId="0" fontId="21" fillId="7" borderId="1" xfId="0" applyFont="1" applyFill="1" applyBorder="1" applyAlignment="1">
      <x:alignment horizontal="center" vertical="center" wrapText="1"/>
    </x:xf>
    <x:xf numFmtId="0" fontId="27" fillId="0" borderId="1" xfId="0" applyFont="1" applyBorder="1" applyAlignment="1">
      <x:alignment vertical="top" wrapText="1"/>
    </x:xf>
    <x:xf numFmtId="0" fontId="24" fillId="0" borderId="1" xfId="0" applyFont="1" applyBorder="1" applyAlignment="1">
      <x:alignment vertical="top" wrapText="1"/>
    </x:xf>
    <x:xf numFmtId="0" fontId="28" fillId="0" borderId="1" xfId="0" applyFont="1" applyBorder="1" applyAlignment="1">
      <x:alignment vertical="top" wrapText="1"/>
    </x:xf>
    <x:xf numFmtId="0" fontId="32" fillId="0" borderId="1" xfId="0" applyFont="1" applyBorder="1" applyAlignment="1">
      <x:alignment vertical="top" wrapText="1"/>
    </x:xf>
  </x:cellXfs>
  <x:cellStyles count="1">
    <x:cellStyle name="표준"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2F3"/>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CE4D6"/>
      <x:rgbColor rgb="FF4472C4"/>
      <x:rgbColor rgb="FF33CCCC"/>
      <x:rgbColor rgb="FF99CC00"/>
      <x:rgbColor rgb="FFFFCC00"/>
      <x:rgbColor rgb="FFFF9900"/>
      <x:rgbColor rgb="FFFF6600"/>
      <x:rgbColor rgb="FF555555"/>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79498a9106a470c" /><Relationship Type="http://schemas.openxmlformats.org/officeDocument/2006/relationships/theme" Target="/xl/theme/theme1.xml" Id="R9dcf68d25c2649c9" /><Relationship Type="http://schemas.openxmlformats.org/officeDocument/2006/relationships/sharedStrings" Target="/xl/sharedStrings.xml" Id="R0d8f6f7ec778468e" /><Relationship Type="http://schemas.openxmlformats.org/officeDocument/2006/relationships/worksheet" Target="/xl/worksheets/sheet1.xml" Id="R0c0b78ea6ea040a3" /><Relationship Type="http://schemas.openxmlformats.org/officeDocument/2006/relationships/worksheet" Target="/xl/worksheets/sheet2.xml" Id="R232624c3ce18427e" /><Relationship Type="http://schemas.openxmlformats.org/officeDocument/2006/relationships/worksheet" Target="/xl/worksheets/sheet3.xml" Id="R14c2c6318ccb48c5" /><Relationship Type="http://schemas.openxmlformats.org/officeDocument/2006/relationships/worksheet" Target="/xl/worksheets/sheet4.xml" Id="R6be86d7dfbf24fa6" /><Relationship Type="http://schemas.openxmlformats.org/officeDocument/2006/relationships/worksheet" Target="/xl/worksheets/sheet5.xml" Id="R66fee0c2cd7240b4" /><Relationship Type="http://schemas.openxmlformats.org/officeDocument/2006/relationships/worksheet" Target="/xl/worksheets/sheet6.xml" Id="Rf913adeb766b4e73" /><Relationship Type="http://schemas.openxmlformats.org/officeDocument/2006/relationships/worksheet" Target="/xl/worksheets/sheet7.xml" Id="R68b23fe8441d4e8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328125" defaultRowHeight="14.5"/>
  <x:cols>
    <x:col min="1" max="1" width="34" customWidth="1"/>
    <x:col min="2" max="3" width="14" customWidth="1"/>
    <x:col min="4" max="4" width="16" customWidth="1"/>
    <x:col min="5" max="6" width="14" customWidth="1"/>
  </x:cols>
  <x:sheetData>
    <x:row r="1" ht="26.25" customHeight="1">
      <x:c r="A1" s="12" t="str">
        <x:v>So sánh kết quả định tính V2 và V3 — Kết luận</x:v>
      </x:c>
      <x:c r="B1" s="13"/>
      <x:c r="C1" s="13"/>
      <x:c r="D1" s="13"/>
      <x:c r="E1" s="13"/>
      <x:c r="F1" s="13"/>
    </x:row>
    <x:row r="2" ht="15" customHeight="1">
      <x:c r="A2" s="14" t="str">
        <x:v>Đối tượng so sánh: V2 consultant_safe_v10_1!Cột G ↔ V3 Qualitative!Cột H · Khớp 95 chỉ số EBX · So sánh trực tiếp 65 mục được viết ở cả hai bên</x:v>
      </x:c>
      <x:c r="B2" s="13"/>
      <x:c r="C2" s="13"/>
      <x:c r="D2" s="13"/>
      <x:c r="E2" s="13"/>
      <x:c r="F2" s="13"/>
    </x:row>
    <x:row r="3" ht="15" customHeight="1">
      <x:c r="A3" s="13"/>
      <x:c r="B3" s="13"/>
      <x:c r="C3" s="13"/>
      <x:c r="D3" s="13"/>
      <x:c r="E3" s="13"/>
      <x:c r="F3" s="13"/>
    </x:row>
    <x:row r="4" ht="21.75" customHeight="1">
      <x:c r="A4" s="11" t="str">
        <x:v>Kết luận tóm tắt</x:v>
      </x:c>
      <x:c r="B4" s="11"/>
      <x:c r="C4" s="11"/>
      <x:c r="D4" s="11"/>
      <x:c r="E4" s="11"/>
      <x:c r="F4" s="11"/>
    </x:row>
    <x:row r="5" ht="67.5" customHeight="1">
      <x:c r="A5" s="10" t="str">
        <x:v>Hai phiên bản gặp phải những lỗi khác nhau. V2 "viết nhiều nhưng vượt quá căn cứ", trong khi V3 "nằm trong căn cứ nhưng không lấp đầy được các mục và mang cảm giác máy móc". V2 phù hợp hơn để dùng làm bản thảo báo cáo ngay lập tức, còn V3 tốt hơn khi cần nguyên liệu có rủi ro xác minh thực tế thấp. Xét trên cả hai quan điểm, tổng điểm của V2 cao hơn, nhưng hầu hết nguyên nhân thất bại của V3 không nằm ở khả năng viết câu mà là do lỗi pipeline có thể khắc phục (cách dùng từ né tránh nguồn, QA chặn quá thận trọng).</x:v>
      </x:c>
      <x:c r="B5" s="10"/>
      <x:c r="C5" s="10"/>
      <x:c r="D5" s="10"/>
      <x:c r="E5" s="10"/>
      <x:c r="F5" s="10"/>
    </x:row>
    <x:row r="6" ht="15" customHeight="1">
      <x:c r="A6" s="13"/>
      <x:c r="B6" s="13"/>
      <x:c r="C6" s="13"/>
      <x:c r="D6" s="13"/>
      <x:c r="E6" s="13"/>
      <x:c r="F6" s="13"/>
    </x:row>
    <x:row r="7" ht="21.75" customHeight="1">
      <x:c r="A7" s="9" t="str">
        <x:v>Các hạng mục V2 chiếm ưu thế</x:v>
      </x:c>
      <x:c r="B7" s="9"/>
      <x:c r="C7" s="9"/>
      <x:c r="D7" s="9"/>
      <x:c r="E7" s="9"/>
      <x:c r="F7" s="9"/>
    </x:row>
    <x:row r="8" ht="51" customHeight="1">
      <x:c r="A8" s="10" t="str">
        <x:v>Tính đầy đủ (tỷ lệ hoàn thành 86.3% vs 73.7%) · Tính phù hợp của hạng mục (0.856 vs 0.612, thắng 43/65) · Tính cụ thể (số lượng con số trên 1.000 ký tự 23.3 vs 12.8) · Tính cân bằng (đề cập đến rủi ro 59.8% vs 37.1%) · Độ tự nhiên của câu (cụm từ chèn máy móc 0 trường hợp vs 24 trường hợp).</x:v>
      </x:c>
      <x:c r="B8" s="10"/>
      <x:c r="C8" s="10"/>
      <x:c r="D8" s="10"/>
      <x:c r="E8" s="10"/>
      <x:c r="F8" s="10"/>
    </x:row>
    <x:row r="9" ht="15" customHeight="1">
      <x:c r="A9" s="13"/>
      <x:c r="B9" s="13"/>
      <x:c r="C9" s="13"/>
      <x:c r="D9" s="13"/>
      <x:c r="E9" s="13"/>
      <x:c r="F9" s="13"/>
    </x:row>
    <x:row r="10" ht="21.75" customHeight="1">
      <x:c r="A10" s="9" t="str">
        <x:v>Các hạng mục V3 chiếm ưu thế</x:v>
      </x:c>
      <x:c r="B10" s="9"/>
      <x:c r="C10" s="9"/>
      <x:c r="D10" s="9"/>
      <x:c r="E10" s="9"/>
      <x:c r="F10" s="9"/>
    </x:row>
    <x:row r="11" ht="39.75" customHeight="1">
      <x:c r="A11" s="10" t="str">
        <x:v>Độ trung thực của căn cứ · Khả năng kiểm chứng (0.408 → 0.629, thắng 59/65 — khoảng cách lớn nhất) · Hạn chế từ ngữ sáo rỗng (5.79 → 3.78 trên 1.000 ký tự).</x:v>
      </x:c>
      <x:c r="B11" s="10"/>
      <x:c r="C11" s="10"/>
      <x:c r="D11" s="10"/>
      <x:c r="E11" s="10"/>
      <x:c r="F11" s="10"/>
    </x:row>
    <x:row r="12" ht="15" customHeight="1">
      <x:c r="A12" s="13"/>
      <x:c r="B12" s="13"/>
      <x:c r="C12" s="13"/>
      <x:c r="D12" s="13"/>
      <x:c r="E12" s="13"/>
      <x:c r="F12" s="13"/>
    </x:row>
    <x:row r="13" ht="21.75" customHeight="1">
      <x:c r="A13" s="11" t="str">
        <x:v>Các mục thực tế là tương đương</x:v>
      </x:c>
      <x:c r="B13" s="11"/>
      <x:c r="C13" s="11"/>
      <x:c r="D13" s="11"/>
      <x:c r="E13" s="11"/>
      <x:c r="F13" s="11"/>
    </x:row>
    <x:row r="14" ht="39.75" customHeight="1">
      <x:c r="A14" s="10" t="str">
        <x:v>Độ đa dạng từ vựng (MATTR 0.9386 vs 0.9380) · Độ rõ ràng (Trung bình câu 93.0 ký tự vs 94.1 ký tự) · Độ đa dạng nhịp điệu văn phong (CV 0.242 vs 0.249 khi kiểm soát độ dài).</x:v>
      </x:c>
      <x:c r="B14" s="10"/>
      <x:c r="C14" s="10"/>
      <x:c r="D14" s="10"/>
      <x:c r="E14" s="10"/>
      <x:c r="F14" s="10"/>
    </x:row>
    <x:row r="15" ht="15" customHeight="1">
      <x:c r="A15" s="13"/>
      <x:c r="B15" s="13"/>
      <x:c r="C15" s="13"/>
      <x:c r="D15" s="13"/>
      <x:c r="E15" s="13"/>
      <x:c r="F15" s="13"/>
    </x:row>
    <x:row r="16" ht="21.75" customHeight="1">
      <x:c r="A16" s="11" t="str">
        <x:v>★ Điểm dễ gây nhầm lẫn</x:v>
      </x:c>
      <x:c r="B16" s="11"/>
      <x:c r="C16" s="11"/>
      <x:c r="D16" s="11"/>
      <x:c r="E16" s="11"/>
      <x:c r="F16" s="11"/>
    </x:row>
    <x:row r="17" ht="67.5" customHeight="1">
      <x:c r="A17" s="10" t="str">
        <x:v>Nếu chỉ nhìn vào trung bình tổng thể, độ burstiness (biến động độ dài câu) của V2 cao hơn nhiều, dẫn đến kết luận "V2 giống con người hơn". Tuy nhiên, đây là ảo giác do câu trả lời của V3 ngắn, trung bình chỉ 2.3 câu. Khi chỉ so sánh 28 trường hợp có từ 3 câu trở lên, V3 lại chiếm ưu thế nhẹ với 0.242 vs 0.249. Tương tự, độ đa dạng từ vựng cũng không còn sự khác biệt khi điều chỉnh cùng độ dài. Nói cách khác, không có sự khác biệt có ý nghĩa về khả năng viết câu giữa hai phiên bản, mọi sự khác biệt đều đến từ chính sách "viết cái gì và viết bao nhiêu".</x:v>
      </x:c>
      <x:c r="B17" s="10"/>
      <x:c r="C17" s="10"/>
      <x:c r="D17" s="10"/>
      <x:c r="E17" s="10"/>
      <x:c r="F17" s="10"/>
    </x:row>
    <x:row r="18" ht="15" customHeight="1">
      <x:c r="A18" s="13"/>
      <x:c r="B18" s="13"/>
      <x:c r="C18" s="13"/>
      <x:c r="D18" s="13"/>
      <x:c r="E18" s="13"/>
      <x:c r="F18" s="13"/>
    </x:row>
    <x:row r="19" ht="21.75" customHeight="1">
      <x:c r="A19" s="9" t="str">
        <x:v>Điểm yếu cốt lõi của V2 — Mở rộng không có căn cứ</x:v>
      </x:c>
      <x:c r="B19" s="9"/>
      <x:c r="C19" s="9"/>
      <x:c r="D19" s="9"/>
      <x:c r="E19" s="9"/>
      <x:c r="F19" s="9"/>
    </x:row>
    <x:row r="20" ht="51" customHeight="1">
      <x:c r="A20" s="8" t="str">
        <x:v>Trong nội dung của V2, tỷ lệ khớp căn cứ của 2 câu đầu là 0.477, nhưng các câu sau đó giảm xuống còn 0.357 (giảm trong 46 trên 57 trường hợp). Phần nội dung càng dài thì càng xa rời căn cứ. Cột kiểm tra trong chính tệp V2 cũng chỉ ra 64 trường hợp thiếu căn cứ (Thiếu), điều này khớp với chẩn đoán này.</x:v>
      </x:c>
      <x:c r="B20" s="8"/>
      <x:c r="C20" s="8"/>
      <x:c r="D20" s="8"/>
      <x:c r="E20" s="8"/>
      <x:c r="F20" s="8"/>
    </x:row>
    <x:row r="21" ht="15" customHeight="1">
      <x:c r="A21" s="13"/>
      <x:c r="B21" s="13"/>
      <x:c r="C21" s="13"/>
      <x:c r="D21" s="13"/>
      <x:c r="E21" s="13"/>
      <x:c r="F21" s="13"/>
    </x:row>
    <x:row r="22" ht="21.75" customHeight="1">
      <x:c r="A22" s="9" t="str">
        <x:v>Điểm yếu cốt lõi của V3 — Hai điểm, đều có thể chỉnh sửa</x:v>
      </x:c>
      <x:c r="B22" s="9"/>
      <x:c r="C22" s="9"/>
      <x:c r="D22" s="9"/>
      <x:c r="E22" s="9"/>
      <x:c r="F22" s="9"/>
    </x:row>
    <x:row r="23" ht="84.75" customHeight="1">
      <x:c r="A23" s="8" t="str">
        <x:v>(1) Các cụm từ "theo tài liệu đề xuất đang xem xét", "theo tài liệu đánh giá bên ngoài" xuất hiện trong 34.3% nội dung soạn thảo. Đây là những cách diễn đạt không tồn tại trong báo cáo do con người viết, và có 5 trường hợp tạo thành câu sai ngữ pháp do ngắt kết nối như "theo tài liệu đánh giá bên ngoài cũng,". Vấn đề này sẽ được giải quyết ngay lập tức nếu cấm các cụm từ bổ nghĩa này trong prompt và tách nguồn ra một cột riêng. (2) 25 trường hợp chưa soạn thảo đều bị QA blocked, trong đó bao gồm cả những trường hợp có RAG Coverage là complete và Evidence là high_confidence (như EBX-Q-011) — tiêu chuẩn chặn đang quá thận trọng.</x:v>
      </x:c>
      <x:c r="B23" s="8"/>
      <x:c r="C23" s="8"/>
      <x:c r="D23" s="8"/>
      <x:c r="E23" s="8"/>
      <x:c r="F23" s="8"/>
    </x:row>
    <x:row r="24" ht="15" customHeight="1">
      <x:c r="A24" s="13"/>
      <x:c r="B24" s="13"/>
      <x:c r="C24" s="13"/>
      <x:c r="D24" s="13"/>
      <x:c r="E24" s="13"/>
      <x:c r="F24" s="13"/>
    </x:row>
    <x:row r="25" ht="21.75" customHeight="1">
      <x:c r="A25" s="11" t="str">
        <x:v>Khuyến nghị</x:v>
      </x:c>
      <x:c r="B25" s="11"/>
      <x:c r="C25" s="11"/>
      <x:c r="D25" s="11"/>
      <x:c r="E25" s="11"/>
      <x:c r="F25" s="11"/>
    </x:row>
    <x:row r="26" ht="51" customHeight="1">
      <x:c r="A26" s="8" t="str">
        <x:v>Nếu duy trì chính sách kiểm soát căn cứ của V3, đồng thời (a) loại bỏ các cụm từ phòng vệ (hedge), (b) nới lỏng tiêu chuẩn chặn QA, và (c) bắt buộc các yếu tố thiết yếu mà trường (Field) yêu cầu thông qua checklist để nâng mức độ phù hợp 0.612 lên cấp độ của V2, thì V3 có khả năng cao sẽ vượt qua V2 ở cả hai góc nhìn. Ngược lại, nếu muốn sử dụng V2, việc xác minh nguồn gốc của các câu ở phần cuối phải được thực hiện trước.</x:v>
      </x:c>
      <x:c r="B26" s="8"/>
      <x:c r="C26" s="8"/>
      <x:c r="D26" s="8"/>
      <x:c r="E26" s="8"/>
      <x:c r="F26" s="8"/>
    </x:row>
    <x:row r="27" ht="15" customHeight="1">
      <x:c r="A27" s="13"/>
      <x:c r="B27" s="13"/>
      <x:c r="C27" s="13"/>
      <x:c r="D27" s="13"/>
      <x:c r="E27" s="13"/>
      <x:c r="F27" s="13"/>
    </x:row>
    <x:row r="28" ht="18.75" customHeight="1">
      <x:c r="A28" s="11" t="str">
        <x:v>Tổng điểm (Liên kết với sheet 02_So_sanh_tong_hop)</x:v>
      </x:c>
      <x:c r="B28" s="11"/>
      <x:c r="C28" s="11"/>
      <x:c r="D28" s="11"/>
      <x:c r="E28" s="11"/>
      <x:c r="F28" s="11"/>
    </x:row>
    <x:row r="29" ht="15" customHeight="1">
      <x:c r="A29" s="15" t="str">
        <x:v>Góc nhìn</x:v>
      </x:c>
      <x:c r="B29" s="16" t="str">
        <x:v>V2</x:v>
      </x:c>
      <x:c r="C29" s="16" t="str">
        <x:v>V3</x:v>
      </x:c>
      <x:c r="D29" s="17" t="str">
        <x:v>Ưu thế</x:v>
      </x:c>
      <x:c r="E29" s="13"/>
      <x:c r="F29" s="13"/>
    </x:row>
    <x:row r="30" ht="15" customHeight="1">
      <x:c r="A30" s="18" t="str">
        <x:v>Trọng số A — Chất lượng bản thảo báo cáo</x:v>
      </x:c>
      <x:c r="B30" s="19" t="n">
        <x:v>80.8</x:v>
      </x:c>
      <x:c r="C30" s="20" t="n">
        <x:v>70</x:v>
      </x:c>
      <x:c r="D30" s="21" t="str">
        <x:v>V2 ưu thế</x:v>
      </x:c>
      <x:c r="E30" s="13"/>
      <x:c r="F30" s="13"/>
    </x:row>
    <x:row r="31" ht="15" customHeight="1">
      <x:c r="A31" s="18" t="str">
        <x:v>Trọng số B — Có giống văn phong người viết không</x:v>
      </x:c>
      <x:c r="B31" s="19" t="n">
        <x:v>83.2</x:v>
      </x:c>
      <x:c r="C31" s="20" t="n">
        <x:v>67</x:v>
      </x:c>
      <x:c r="D31" s="21" t="str">
        <x:v>V2 ưu thế</x:v>
      </x:c>
      <x:c r="E31" s="13"/>
      <x:c r="F31" s="13"/>
    </x:row>
    <x:row r="32" ht="15" customHeight="1">
      <x:c r="A32" s="18" t="str">
        <x:v>Thắng thua theo hạng mục (10 hạng mục)</x:v>
      </x:c>
      <x:c r="B32" s="22" t="n">
        <x:v>5</x:v>
      </x:c>
      <x:c r="C32" s="23" t="n">
        <x:v>2</x:v>
      </x:c>
      <x:c r="D32" s="21" t="str">
        <x:v>3 mục hòa</x:v>
      </x:c>
      <x:c r="E32" s="13"/>
      <x:c r="F32" s="13"/>
    </x:row>
  </x:sheetData>
  <x:mergeCells>
    <x:mergeCell ref="A26:F26"/>
    <x:mergeCell ref="A28:F28"/>
    <x:mergeCell ref="A19:F19"/>
    <x:mergeCell ref="A20:F20"/>
    <x:mergeCell ref="A22:F22"/>
    <x:mergeCell ref="A23:F23"/>
    <x:mergeCell ref="A25:F25"/>
    <x:mergeCell ref="A11:F11"/>
    <x:mergeCell ref="A13:F13"/>
    <x:mergeCell ref="A14:F14"/>
    <x:mergeCell ref="A16:F16"/>
    <x:mergeCell ref="A17:F17"/>
    <x:mergeCell ref="A4:F4"/>
    <x:mergeCell ref="A5:F5"/>
    <x:mergeCell ref="A7:F7"/>
    <x:mergeCell ref="A8:F8"/>
    <x:mergeCell ref="A10:F10"/>
  </x:mergeCells>
  <x:pageMargins left="0.7" right="0.7" top="0.75" bottom="0.75" header="0.3" footer="0.3"/>
</x:worksheet>
</file>

<file path=xl/worksheets/sheet2.xml><?xml version="1.0" encoding="utf-8"?>
<x:worksheet xmlns:x="http://schemas.openxmlformats.org/spreadsheetml/2006/main">
  <x:sheetFormatPr defaultColWidth="8.6328125" defaultRowHeight="14.5"/>
  <x:cols>
    <x:col min="1" max="1" width="24" customWidth="1"/>
    <x:col min="2" max="2" width="34" customWidth="1"/>
    <x:col min="3" max="3" width="46" customWidth="1"/>
    <x:col min="4" max="4" width="34" customWidth="1"/>
    <x:col min="5" max="5" width="14" customWidth="1"/>
    <x:col min="6" max="6" width="16" customWidth="1"/>
  </x:cols>
  <x:sheetData>
    <x:row r="1" ht="22.5" customHeight="1">
      <x:c r="A1" s="24" t="str">
        <x:v>So sánh sản phẩm định tính V2 vs V3 — Thiết kế tiêu chí đánh giá</x:v>
      </x:c>
      <x:c r="B1" s="13"/>
      <x:c r="C1" s="13"/>
      <x:c r="D1" s="13"/>
      <x:c r="E1" s="13"/>
      <x:c r="F1" s="13"/>
    </x:row>
    <x:row r="2" ht="15" customHeight="1">
      <x:c r="A2" s="25" t="str">
        <x:v>V2: [langgraph][daewoong-company]final_report(2026.08.10) — sheet consultant_safe_v10_1 · Cột G Final Answer</x:v>
      </x:c>
      <x:c r="B2" s="13"/>
      <x:c r="C2" s="13"/>
      <x:c r="D2" s="13"/>
      <x:c r="E2" s="13"/>
      <x:c r="F2" s="13"/>
    </x:row>
    <x:row r="3" ht="15" customHeight="1">
      <x:c r="A3" s="25" t="str">
        <x:v>V3: [langgraph][v3][Daewoong]report-2026.08.11_9 — sheet Qualitative · Cột H Final Answer</x:v>
      </x:c>
      <x:c r="B3" s="13"/>
      <x:c r="C3" s="13"/>
      <x:c r="D3" s="13"/>
      <x:c r="E3" s="13"/>
      <x:c r="F3" s="13"/>
    </x:row>
    <x:row r="4" ht="15" customHeight="1">
      <x:c r="A4" s="25" t="str">
        <x:v>Đối chiếu dựa trên EBX Indicator ở cột A — Cả hai bên đều có 95 chỉ số, khớp 100% (không thiếu, không thừa). 65 chỉ số được viết ở cả hai bên là đối tượng so sánh trực tiếp.</x:v>
      </x:c>
      <x:c r="B4" s="13"/>
      <x:c r="C4" s="13"/>
      <x:c r="D4" s="13"/>
      <x:c r="E4" s="13"/>
      <x:c r="F4" s="13"/>
    </x:row>
    <x:row r="5" ht="15" customHeight="1">
      <x:c r="A5" s="13"/>
      <x:c r="B5" s="13"/>
      <x:c r="C5" s="13"/>
      <x:c r="D5" s="13"/>
      <x:c r="E5" s="13"/>
      <x:c r="F5" s="13"/>
    </x:row>
    <x:row r="6" ht="15" customHeight="1">
      <x:c r="A6" s="26" t="str">
        <x:v>Tại sao chọn tiêu chí này</x:v>
      </x:c>
      <x:c r="B6" s="13"/>
      <x:c r="C6" s="13"/>
      <x:c r="D6" s="13"/>
      <x:c r="E6" s="13"/>
      <x:c r="F6" s="13"/>
    </x:row>
    <x:row r="7" ht="87.75" customHeight="1">
      <x:c r="A7" s="8" t="str">
        <x:v>"Có giống người viết không" không được đo lường bằng một thước đo duy nhất. Trong các tài liệu, vấn đề này được chia thành hai nhánh riêng biệt. (1) Chất lượng nội dung — Tiêu chuẩn chất lượng cho thể loại Báo cáo Phát triển Bền vững thực tế là các nguyên tắc báo cáo (tính chính xác, cân bằng, rõ ràng, có thể so sánh, đầy đủ, có thể kiểm chứng) của GRI 1: Foundation 2021. (2) Độ tương đồng văn phong với con người — Các nghiên cứu phát hiện văn bản AI nhất quán sử dụng sự biến thiên độ dài câu (burstiness), sự đa dạng từ vựng và tỷ lệ lặp lại các cụm từ sáo rỗng làm tín hiệu phân biệt giữa người và máy. Kết hợp với các trục tiêu chuẩn được sử dụng trong đánh giá con người về NLG (độ trôi chảy, độ trung thực, tính cung cấp thông tin), chúng tôi đã xây dựng 10 hạng mục. Mỗi hạng mục chỉ được định nghĩa bằng các chỉ số đại diện (proxy) có thể tính toán thực tế từ hai tệp này — không đưa vào các điểm số dựa trên ấn tượng chủ quan.</x:v>
      </x:c>
      <x:c r="B7" s="8"/>
      <x:c r="C7" s="8"/>
      <x:c r="D7" s="8"/>
      <x:c r="E7" s="8"/>
      <x:c r="F7" s="8"/>
    </x:row>
    <x:row r="8" ht="15" customHeight="1">
      <x:c r="A8" s="13"/>
      <x:c r="B8" s="13"/>
      <x:c r="C8" s="13"/>
      <x:c r="D8" s="13"/>
      <x:c r="E8" s="13"/>
      <x:c r="F8" s="13"/>
    </x:row>
    <x:row r="9" ht="33.75" customHeight="1">
      <x:c r="A9" s="27" t="str">
        <x:v>Hạng mục</x:v>
      </x:c>
      <x:c r="B9" s="27" t="str">
        <x:v>Nội dung xem xét</x:v>
      </x:c>
      <x:c r="C9" s="27" t="str">
        <x:v>Phương pháp đo lường (Giá trị thực tế được tính toán trong tệp này)</x:v>
      </x:c>
      <x:c r="D9" s="27" t="str">
        <x:v>Tài liệu căn cứ</x:v>
      </x:c>
      <x:c r="E9" s="27" t="str">
        <x:v>Trọng số A (Chất lượng báo cáo)</x:v>
      </x:c>
      <x:c r="F9" s="27" t="str">
        <x:v>Trọng số B (Độ tương đồng với con người)</x:v>
      </x:c>
    </x:row>
    <x:row r="10" ht="33.75" customHeight="1">
      <x:c r="A10" s="28" t="str">
        <x:v>C1 Tính đầy đủ</x:v>
      </x:c>
      <x:c r="B10" s="29" t="str">
        <x:v>Tỷ lệ nội dung thực tế được điền trong số 95 chỉ số yêu cầu</x:v>
      </x:c>
      <x:c r="C10" s="29" t="str">
        <x:v>Tỷ lệ ô không trống</x:v>
      </x:c>
      <x:c r="D10" s="30" t="str">
        <x:v>GRI 1 — Completeness</x:v>
      </x:c>
      <x:c r="E10" s="31" t="n">
        <x:v>12</x:v>
      </x:c>
      <x:c r="F10" s="31" t="n">
        <x:v>5</x:v>
      </x:c>
    </x:row>
    <x:row r="11" ht="33.75" customHeight="1">
      <x:c r="A11" s="28" t="str">
        <x:v>Tính phù hợp của mục C2</x:v>
      </x:c>
      <x:c r="B11" s="30" t="str">
        <x:v>Nội dung văn bản có thực sự đề cập đến chủ đề mà Field (tên mục) yêu cầu hay không</x:v>
      </x:c>
      <x:c r="C11" s="30" t="str">
        <x:v>Tỷ lệ xuất hiện của các từ khóa cuối trong Field trong nội dung văn bản</x:v>
      </x:c>
      <x:c r="D11" s="30" t="str">
        <x:v>GRI 1 — Completeness / NLG Relevance</x:v>
      </x:c>
      <x:c r="E11" s="31" t="n">
        <x:v>12</x:v>
      </x:c>
      <x:c r="F11" s="31" t="n">
        <x:v>8</x:v>
      </x:c>
    </x:row>
    <x:row r="12" ht="33.75" customHeight="1">
      <x:c r="A12" s="28" t="str">
        <x:v>C3 Tính trung thực của căn cứ và khả năng kiểm chứng</x:v>
      </x:c>
      <x:c r="B12" s="29" t="str">
        <x:v>Nội dung văn bản có thực sự dựa trên Original Evidence hay không (=có tự bịa ra hay không)</x:v>
      </x:c>
      <x:c r="C12" s="29" t="str">
        <x:v>Tỷ lệ các n-gram 4 ký tự trong văn bản cũng xuất hiện trong Evidence</x:v>
      </x:c>
      <x:c r="D12" s="30" t="str">
        <x:v>GRI 1 — Accuracy, Verifiability / NLG Faithfulness</x:v>
      </x:c>
      <x:c r="E12" s="31" t="n">
        <x:v>18</x:v>
      </x:c>
      <x:c r="F12" s="31" t="n">
        <x:v>10</x:v>
      </x:c>
    </x:row>
    <x:row r="13" ht="33.75" customHeight="1">
      <x:c r="A13" s="28" t="str">
        <x:v>C4 Tính cân bằng</x:v>
      </x:c>
      <x:c r="B13" s="29" t="str">
        <x:v>Có đề cập đến rủi ro, thiếu sót và thách thức thay vì chỉ liệt kê thành tích không</x:v>
      </x:c>
      <x:c r="C13" s="29" t="str">
        <x:v>Tỷ lệ câu trả lời bao gồm các từ vựng tiêu cực/thách thức (rủi ro/thiếu sót/hạn chế/cần cải thiện, v.v.)</x:v>
      </x:c>
      <x:c r="D13" s="30" t="str">
        <x:v>GRI 1 — Balance</x:v>
      </x:c>
      <x:c r="E13" s="31" t="n">
        <x:v>10</x:v>
      </x:c>
      <x:c r="F13" s="31" t="n">
        <x:v>8</x:v>
      </x:c>
    </x:row>
    <x:row r="14" ht="33.75" customHeight="1">
      <x:c r="A14" s="28" t="str">
        <x:v>C5 Tính cụ thể</x:v>
      </x:c>
      <x:c r="B14" s="29" t="str">
        <x:v>Có chứa các sự thật có thể kiểm chứng như số liệu, năm, danh từ riêng không</x:v>
      </x:c>
      <x:c r="C14" s="30" t="str">
        <x:v>Số lần xuất hiện của con số trên 1.000 ký tự, tỷ lệ câu trả lời đề cập đến năm</x:v>
      </x:c>
      <x:c r="D14" s="30" t="str">
        <x:v>GRI 1 — Accuracy / NLG Informativeness</x:v>
      </x:c>
      <x:c r="E14" s="31" t="n">
        <x:v>10</x:v>
      </x:c>
      <x:c r="F14" s="31" t="n">
        <x:v>10</x:v>
      </x:c>
    </x:row>
    <x:row r="15" ht="33.75" customHeight="1">
      <x:c r="A15" s="28" t="str">
        <x:v>C6 Độ rõ ràng</x:v>
      </x:c>
      <x:c r="B15" s="29" t="str">
        <x:v>Một câu có quá dài gây cản trở việc đọc hiểu hay không</x:v>
      </x:c>
      <x:c r="C15" s="29" t="str">
        <x:v>Chiều dài câu trung bình, tỷ lệ câu dài vượt quá 120 ký tự</x:v>
      </x:c>
      <x:c r="D15" s="30" t="str">
        <x:v>GRI 1 — Clarity</x:v>
      </x:c>
      <x:c r="E15" s="31" t="n">
        <x:v>10</x:v>
      </x:c>
      <x:c r="F15" s="31" t="n">
        <x:v>14</x:v>
      </x:c>
    </x:row>
    <x:row r="16" ht="33.75" customHeight="1">
      <x:c r="A16" s="28" t="str">
        <x:v>C7 Độ tự nhiên của câu và tính toàn vẹn của ngữ pháp</x:v>
      </x:c>
      <x:c r="B16" s="29" t="str">
        <x:v>Câu văn có đọc giống như do người viết hay không / Có cụm từ chèn máy móc hay không</x:v>
      </x:c>
      <x:c r="C16" s="29" t="str">
        <x:v>Tỷ lệ xuất hiện câu trả lời có từ rào đón (hedge) ở nguồn ("~theo tài liệu"), số trường hợp lỗi kết nối giữa câu</x:v>
      </x:c>
      <x:c r="D16" s="30" t="str">
        <x:v>NLG Human Eval — Fluency</x:v>
      </x:c>
      <x:c r="E16" s="31" t="n">
        <x:v>12</x:v>
      </x:c>
      <x:c r="F16" s="31" t="n">
        <x:v>22</x:v>
      </x:c>
    </x:row>
    <x:row r="17" ht="33.75" customHeight="1">
      <x:c r="A17" s="28" t="str">
        <x:v>C8 Sự đa dạng về nhịp điệu văn phong (Burstiness)</x:v>
      </x:c>
      <x:c r="B17" s="29" t="str">
        <x:v>Độ dài câu không đơn điệu và có sự biến thiên tự nhiên như con người hay không</x:v>
      </x:c>
      <x:c r="C17" s="29" t="str">
        <x:v>Hệ số biến thiên (CV) của độ dài câu — Kiểm soát độ dài với câu trả lời từ 3 câu trở lên</x:v>
      </x:c>
      <x:c r="D17" s="30" t="str">
        <x:v>Tài liệu phát hiện AI — Burstiness</x:v>
      </x:c>
      <x:c r="E17" s="31" t="n">
        <x:v>5</x:v>
      </x:c>
      <x:c r="F17" s="31" t="n">
        <x:v>10</x:v>
      </x:c>
    </x:row>
    <x:row r="18" ht="33.75" customHeight="1">
      <x:c r="A18" s="28" t="str">
        <x:v>C9 Tránh dùng từ sáo rỗng/mẫu có sẵn</x:v>
      </x:c>
      <x:c r="B18" s="30" t="str">
        <x:v>Các biểu hiện không có nội dung như "một cách liên tục/tích cực/hệ thống" có bị quá mức hay không</x:v>
      </x:c>
      <x:c r="C18" s="30" t="str">
        <x:v>Số lượng từ sáo rỗng trên 1.000 ký tự (càng thấp càng tốt)</x:v>
      </x:c>
      <x:c r="D18" s="30" t="str">
        <x:v>Tài liệu phát hiện AI — Lexical repetitiveness</x:v>
      </x:c>
      <x:c r="E18" s="31" t="n">
        <x:v>6</x:v>
      </x:c>
      <x:c r="F18" s="31" t="n">
        <x:v>9</x:v>
      </x:c>
    </x:row>
    <x:row r="19" ht="33.75" customHeight="1">
      <x:c r="A19" s="28" t="str">
        <x:v>Độ đa dạng từ vựng C10</x:v>
      </x:c>
      <x:c r="B19" s="29" t="str">
        <x:v>Có lặp lại cùng một từ hay không</x:v>
      </x:c>
      <x:c r="C19" s="30" t="str">
        <x:v>MATTR (Type-Token Ratio cửa sổ trượt 40 từ) — Kiểm soát độ dài</x:v>
      </x:c>
      <x:c r="D19" s="30" t="str">
        <x:v>Tài liệu phát hiện AI — Lexical density / TTR</x:v>
      </x:c>
      <x:c r="E19" s="31" t="n">
        <x:v>5</x:v>
      </x:c>
      <x:c r="F19" s="31" t="n">
        <x:v>4</x:v>
      </x:c>
    </x:row>
    <x:row r="20" ht="15" customHeight="1">
      <x:c r="A20" s="32" t="str">
        <x:v>Tổng cộng</x:v>
      </x:c>
      <x:c r="B20" s="32"/>
      <x:c r="C20" s="32"/>
      <x:c r="D20" s="32"/>
      <x:c r="E20" s="32" t="n">
        <x:v>100</x:v>
      </x:c>
      <x:c r="F20" s="32" t="n">
        <x:v>100</x:v>
      </x:c>
    </x:row>
    <x:row r="21" ht="15" customHeight="1">
      <x:c r="A21" s="13"/>
      <x:c r="B21" s="13"/>
      <x:c r="C21" s="13"/>
      <x:c r="D21" s="13"/>
      <x:c r="E21" s="13"/>
      <x:c r="F21" s="13"/>
    </x:row>
    <x:row r="22" ht="15" customHeight="1">
      <x:c r="A22" s="33" t="str">
        <x:v>Lý do sử dụng hai bộ trọng số</x:v>
      </x:c>
      <x:c r="B22" s="13"/>
      <x:c r="C22" s="13"/>
      <x:c r="D22" s="13"/>
      <x:c r="E22" s="13"/>
      <x:c r="F22" s="13"/>
    </x:row>
    <x:row r="23" ht="45.75" customHeight="1">
      <x:c r="A23" s="10" t="str">
        <x:v>Trọng số A xem xét "mức độ hữu ích với tư cách là bản thảo báo cáo" — chú trọng vào tính đầy đủ và tính xác thực của căn cứ. Trọng số B xem xét "mức độ giống với văn bản do con người viết" theo yêu cầu — chú trọng vào các chỉ số về độ lưu loát, độ rõ ràng và phong cách văn bản. Vì kết quả thắng cuộc có thể khác nhau tùy theo hai góc nhìn này nên chúng tôi đã tách riêng. Trọng số là giá trị nhập có thể điều chỉnh (cột E·F, màu vàng).</x:v>
      </x:c>
      <x:c r="B23" s="10"/>
      <x:c r="C23" s="10"/>
      <x:c r="D23" s="10"/>
      <x:c r="E23" s="10"/>
      <x:c r="F23" s="10"/>
    </x:row>
    <x:row r="24" ht="15" customHeight="1">
      <x:c r="A24" s="13"/>
      <x:c r="B24" s="13"/>
      <x:c r="C24" s="13"/>
      <x:c r="D24" s="13"/>
      <x:c r="E24" s="13"/>
      <x:c r="F24" s="13"/>
    </x:row>
    <x:row r="25" ht="15" customHeight="1">
      <x:c r="A25" s="33" t="str">
        <x:v>Nguồn</x:v>
      </x:c>
      <x:c r="B25" s="13"/>
      <x:c r="C25" s="13"/>
      <x:c r="D25" s="13"/>
      <x:c r="E25" s="13"/>
      <x:c r="F25" s="13"/>
    </x:row>
    <x:row r="26" ht="30" customHeight="1">
      <x:c r="A26" s="7" t="str">
        <x:v>· GRI 1: Foundation 2021 — 8 nguyên tắc báo cáo (tính chính xác, tính cân bằng, tính rõ ràng, tính có thể so sánh, tính đầy đủ, bối cảnh bền vững, tính kịp thời, tính có thể kiểm chứng). globalreporting.org</x:v>
      </x:c>
      <x:c r="B26" s="7"/>
      <x:c r="C26" s="7"/>
      <x:c r="D26" s="7"/>
      <x:c r="E26" s="7"/>
      <x:c r="F26" s="7"/>
    </x:row>
    <x:row r="27" ht="30" customHeight="1">
      <x:c r="A27" s="7" t="str">
        <x:v>· Howcroft et al. (2020), "Twenty Years of Confusion in Human Evaluation", INLG — Các trục tiêu chuẩn đánh giá con người đối với NLG (độ lưu loát/tính xác thực/tính cung cấp thông tin). aclanthology.org/2020.inlg-1.23</x:v>
      </x:c>
      <x:c r="B27" s="7"/>
      <x:c r="C27" s="7"/>
      <x:c r="D27" s="7"/>
      <x:c r="E27" s="7"/>
      <x:c r="F27" s="7"/>
    </x:row>
    <x:row r="28" ht="30" customHeight="1">
      <x:c r="A28" s="7" t="str">
        <x:v>· Tài liệu phát hiện văn bản do AI tạo — Quan sát chung cho thấy văn bản AI có độ dài câu đồng đều hơn (burstiness thấp) và tỷ lệ lặp từ vựng cao hơn so với con người. Tuy nhiên, cũng phản ánh lập luận rằng burstiness và perplexity có tỷ lệ sai sót cao nếu dùng làm chỉ số độc lập (Pangram), nên chỉ sử dụng làm chỉ số bổ trợ.</x:v>
      </x:c>
      <x:c r="B28" s="7"/>
      <x:c r="C28" s="7"/>
      <x:c r="D28" s="7"/>
      <x:c r="E28" s="7"/>
      <x:c r="F28" s="7"/>
    </x:row>
    <x:row r="29" ht="30" customHeight="1">
      <x:c r="A29" s="7" t="str">
        <x:v>· Lưu ý: Tính kịp thời, tính có thể so sánh và bối cảnh bền vững không thể đánh giá theo đơn vị một đoạn văn đơn lẻ nên đã được loại bỏ khỏi đánh giá.</x:v>
      </x:c>
      <x:c r="B29" s="7"/>
      <x:c r="C29" s="7"/>
      <x:c r="D29" s="7"/>
      <x:c r="E29" s="7"/>
      <x:c r="F29" s="7"/>
    </x:row>
  </x:sheetData>
  <x:mergeCells>
    <x:mergeCell ref="A29:F29"/>
    <x:mergeCell ref="A7:F7"/>
    <x:mergeCell ref="A23:F23"/>
    <x:mergeCell ref="A26:F26"/>
    <x:mergeCell ref="A27:F27"/>
    <x:mergeCell ref="A28:F28"/>
  </x:mergeCells>
  <x:pageMargins left="0.7" right="0.7" top="0.75" bottom="0.75" header="0.3" footer="0.3"/>
</x:worksheet>
</file>

<file path=xl/worksheets/sheet3.xml><?xml version="1.0" encoding="utf-8"?>
<x:worksheet xmlns:x="http://schemas.openxmlformats.org/spreadsheetml/2006/main">
  <x:sheetFormatPr defaultColWidth="8.6328125" defaultRowHeight="14.5"/>
  <x:cols>
    <x:col min="1" max="1" width="32" customWidth="1"/>
    <x:col min="2" max="4" width="10" customWidth="1"/>
    <x:col min="5" max="5" width="42" customWidth="1"/>
    <x:col min="6" max="6" width="58" customWidth="1"/>
    <x:col min="7" max="7" width="10" customWidth="1"/>
  </x:cols>
  <x:sheetData>
    <x:row r="1" ht="22.5" customHeight="1">
      <x:c r="A1" s="24" t="str">
        <x:v>Bảng điểm so sánh tổng hợp — V2 vs V3</x:v>
      </x:c>
      <x:c r="B1" s="13"/>
      <x:c r="C1" s="13"/>
      <x:c r="D1" s="13"/>
      <x:c r="E1" s="13"/>
      <x:c r="F1" s="13"/>
      <x:c r="G1" s="13"/>
    </x:row>
    <x:row r="2" ht="15" customHeight="1">
      <x:c r="A2" s="14" t="str">
        <x:v>Thang điểm 5. Điểm số được rút ra từ giá trị đo lường thực tế trong 04_So_sanh_theo_muc, và các số liệu đo lường thực tế làm căn cứ được ghi song song trên cùng một hàng.</x:v>
      </x:c>
      <x:c r="B2" s="13"/>
      <x:c r="C2" s="13"/>
      <x:c r="D2" s="13"/>
      <x:c r="E2" s="13"/>
      <x:c r="F2" s="13"/>
      <x:c r="G2" s="13"/>
    </x:row>
    <x:row r="3" ht="15" customHeight="1">
      <x:c r="A3" s="13"/>
      <x:c r="B3" s="13"/>
      <x:c r="C3" s="13"/>
      <x:c r="D3" s="13"/>
      <x:c r="E3" s="13"/>
      <x:c r="F3" s="13"/>
      <x:c r="G3" s="13"/>
    </x:row>
    <x:row r="4" ht="33.75" customHeight="1">
      <x:c r="A4" s="27" t="str">
        <x:v>Hạng mục</x:v>
      </x:c>
      <x:c r="B4" s="34" t="str">
        <x:v>Điểm V2</x:v>
      </x:c>
      <x:c r="C4" s="34" t="str">
        <x:v>Điểm V3</x:v>
      </x:c>
      <x:c r="D4" s="27" t="str">
        <x:v>Ưu thế</x:v>
      </x:c>
      <x:c r="E4" s="27" t="str">
        <x:v>Căn cứ đo lường thực tế (V2 → V3)</x:v>
      </x:c>
      <x:c r="F4" s="27" t="str">
        <x:v>Lý do đánh giá</x:v>
      </x:c>
      <x:c r="G4" s="27" t="str">
        <x:v>Độ tin cậy</x:v>
      </x:c>
    </x:row>
    <x:row r="5" ht="57.75" customHeight="1">
      <x:c r="A5" s="35" t="str">
        <x:v>C1 Tính đầy đủ</x:v>
      </x:c>
      <x:c r="B5" s="36" t="n">
        <x:v>5</x:v>
      </x:c>
      <x:c r="C5" s="37" t="n">
        <x:v>3</x:v>
      </x:c>
      <x:c r="D5" s="38" t="str">
        <x:f t="shared" ref="D5:D14" si="0">IF(B5&gt;C5,"V2",IF(C5&gt;B5,"V3","동률"))</x:f>
        <x:v>V2</x:v>
      </x:c>
      <x:c r="E5" s="39" t="str">
        <x:v>Tỷ lệ hoàn thành 86.3%(82/95) → 73.7%(70/95)</x:v>
      </x:c>
      <x:c r="F5" s="35" t="str">
        <x:v>25 trường hợp chưa viết ở V3 đều là khoảng trống có chủ đích do bị QA chặn (blocked). Quản lý chất lượng ổn định nhưng xét về mặt sản phẩm bàn giao thì là ô trống.</x:v>
      </x:c>
      <x:c r="G5" s="40" t="str">
        <x:v>Cao</x:v>
      </x:c>
    </x:row>
    <x:row r="6" ht="57.75" customHeight="1">
      <x:c r="A6" s="35" t="str">
        <x:v>Tính phù hợp của hạng mục C2</x:v>
      </x:c>
      <x:c r="B6" s="36" t="n">
        <x:v>5</x:v>
      </x:c>
      <x:c r="C6" s="37" t="n">
        <x:v>3</x:v>
      </x:c>
      <x:c r="D6" s="38" t="str">
        <x:f t="shared" si="0"/>
        <x:v>V2</x:v>
      </x:c>
      <x:c r="E6" s="39" t="str">
        <x:v>Tỷ lệ đáp ứng từ khóa hạng mục 0.856 → 0.612 (V2 ưu thế 43/65)</x:v>
      </x:c>
      <x:c r="F6" s="35" t="str">
        <x:v>Ngay cả khi kiểm soát độ dài trên 3 câu, khoảng cách vẫn duy trì ở mức 0.863 → 0.723. V3 có trường hợp bỏ sót nội dung mà hạng mục yêu cầu (Ví dụ: thiếu hoàn toàn số liệu nhân sự trong hiện trạng đa dạng Q-063).</x:v>
      </x:c>
      <x:c r="G6" s="40" t="str">
        <x:v>Cao</x:v>
      </x:c>
    </x:row>
    <x:row r="7" ht="57.75" customHeight="1">
      <x:c r="A7" s="35" t="str">
        <x:v>C3 Độ trung thực của căn cứ và khả năng kiểm chứng</x:v>
      </x:c>
      <x:c r="B7" s="36" t="n">
        <x:v>2</x:v>
      </x:c>
      <x:c r="C7" s="37" t="n">
        <x:v>5</x:v>
      </x:c>
      <x:c r="D7" s="38" t="str">
        <x:f t="shared" si="0"/>
        <x:v>V3</x:v>
      </x:c>
      <x:c r="E7" s="39" t="str">
        <x:v>Tỷ lệ khớp căn cứ 0.408 → 0.629 (V3 ưu thế 59/65)</x:v>
      </x:c>
      <x:c r="F7" s="35" t="str">
        <x:v>V2 thêm nhiều mô tả không có trong Evidence. Cột tự kiểm tra của V2 cũng chỉ ra 64 trường hợp thiếu căn cứ (Thiếu). Ngay cả khi kiểm soát độ dài (2 câu đầu của V2 0.477 so với toàn bộ V3 0.629), V3 vẫn duy trì ưu thế.</x:v>
      </x:c>
      <x:c r="G7" s="40" t="str">
        <x:v>Cao</x:v>
      </x:c>
    </x:row>
    <x:row r="8" ht="57.75" customHeight="1">
      <x:c r="A8" s="35" t="str">
        <x:v>C4 Tính cân bằng</x:v>
      </x:c>
      <x:c r="B8" s="36" t="n">
        <x:v>4</x:v>
      </x:c>
      <x:c r="C8" s="37" t="n">
        <x:v>3</x:v>
      </x:c>
      <x:c r="D8" s="38" t="str">
        <x:f t="shared" si="0"/>
        <x:v>V2</x:v>
      </x:c>
      <x:c r="E8" s="39" t="str">
        <x:v>Tỷ lệ câu trả lời đề cập đến rủi ro và thách thức 59.8% → 37.1%</x:v>
      </x:c>
      <x:c r="F8" s="35" t="str">
        <x:v>V2 thường xuyên bao gồm các mô tả về mặt tiêu cực và thách thức hơn. Tuy nhiên, xét đến việc nội dung V2 dài hơn 2,6 lần dẫn đến xác suất xuất hiện cao hơn, nên khoảng cách chỉ được phản ánh là 1 điểm.</x:v>
      </x:c>
      <x:c r="G8" s="40" t="str">
        <x:v>Trung bình</x:v>
      </x:c>
    </x:row>
    <x:row r="9" ht="57.75" customHeight="1">
      <x:c r="A9" s="35" t="str">
        <x:v>C5 Tính cụ thể</x:v>
      </x:c>
      <x:c r="B9" s="36" t="n">
        <x:v>5</x:v>
      </x:c>
      <x:c r="C9" s="37" t="n">
        <x:v>3</x:v>
      </x:c>
      <x:c r="D9" s="38" t="str">
        <x:f t="shared" si="0"/>
        <x:v>V2</x:v>
      </x:c>
      <x:c r="E9" s="35" t="str">
        <x:v>Số lượng con số trên 1.000 ký tự: 23,3 → 12,8, Tỷ lệ đề cập đến năm: 39,0% → 18,6%</x:v>
      </x:c>
      <x:c r="F9" s="39" t="str">
        <x:v>Ngay cả khi chuẩn hóa theo độ dài, V2 vẫn cao hơn khoảng 1,8 lần. V3 có xu hướng loại bỏ các số liệu trong quá trình tóm tắt.</x:v>
      </x:c>
      <x:c r="G9" s="40" t="str">
        <x:v>Cao</x:v>
      </x:c>
    </x:row>
    <x:row r="10" ht="57.75" customHeight="1">
      <x:c r="A10" s="35" t="str">
        <x:v>C6 Tính rõ ràng</x:v>
      </x:c>
      <x:c r="B10" s="36" t="n">
        <x:v>4</x:v>
      </x:c>
      <x:c r="C10" s="37" t="n">
        <x:v>4</x:v>
      </x:c>
      <x:c r="D10" s="38" t="str">
        <x:f t="shared" si="0"/>
        <x:v>Hòa</x:v>
      </x:c>
      <x:c r="E10" s="39" t="str">
        <x:v>Độ dài câu trung bình 93.0 ký tự → 94.1 ký tự, tỷ lệ câu dài trên 120 ký tự 15.6% → 18.0%</x:v>
      </x:c>
      <x:c r="F10" s="39" t="str">
        <x:v>Thực tế là hòa. Cả hai bên đều có câu hơi dài, vượt quá mức khuyến nghị cho báo cáo tiếng Hàn (60~80 ký tự).</x:v>
      </x:c>
      <x:c r="G10" s="40" t="str">
        <x:v>Cao</x:v>
      </x:c>
    </x:row>
    <x:row r="11" ht="57.75" customHeight="1">
      <x:c r="A11" s="35" t="str">
        <x:v>C7 Độ tự nhiên của câu · Tính toàn vẹn của ngữ pháp</x:v>
      </x:c>
      <x:c r="B11" s="36" t="n">
        <x:v>5</x:v>
      </x:c>
      <x:c r="C11" s="37" t="n">
        <x:v>2</x:v>
      </x:c>
      <x:c r="D11" s="38" t="str">
        <x:f t="shared" si="0"/>
        <x:v>V2</x:v>
      </x:c>
      <x:c r="E11" s="39" t="str">
        <x:v>Chèn cụm từ phòng ngừa nguồn 0 trường hợp → 24 trường hợp (34.3% bản viết), lỗi phá vỡ cấu trúc câu 0 trường hợp → 5 trường hợp</x:v>
      </x:c>
      <x:c r="F11" s="35" t="str">
        <x:v>Các cụm từ như "theo tài liệu đề xuất đang xem xét", "theo tài liệu đánh giá bên ngoài" trong V3 là những tàn dư của pipeline không xuất hiện trong báo cáo do người viết. Có 5 trường hợp tạo ra câu sai ngữ pháp do ngắt kết nối như "Ngoài ra, theo tài liệu đánh giá bên ngoài,".</x:v>
      </x:c>
      <x:c r="G11" s="40" t="str">
        <x:v>Cao</x:v>
      </x:c>
    </x:row>
    <x:row r="12" ht="57.75" customHeight="1">
      <x:c r="A12" s="35" t="str">
        <x:v>C8 Sự đa dạng về nhịp điệu văn phong (Burstiness)</x:v>
      </x:c>
      <x:c r="B12" s="36" t="n">
        <x:v>4</x:v>
      </x:c>
      <x:c r="C12" s="37" t="n">
        <x:v>4</x:v>
      </x:c>
      <x:c r="D12" s="38" t="str">
        <x:f t="shared" si="0"/>
        <x:v>Hòa</x:v>
      </x:c>
      <x:c r="E12" s="39" t="str">
        <x:v>CV độ dài câu 0.242 → 0.249 (dựa trên 28 trường hợp có từ 3 câu trở lên)</x:v>
      </x:c>
      <x:c r="F12" s="39" t="str">
        <x:v>Xét về trung bình tổng thể, V2 có vẻ cao hơn (0.230 so với 0.185), nhưng đây là ảo giác do câu trả lời của V3 ngắn với trung bình 2.3 câu. Nếu điều chỉnh độ dài tương đương thì kết quả là hòa, thậm chí V3 còn ưu thế hơn một chút.</x:v>
      </x:c>
      <x:c r="G12" s="40" t="str">
        <x:v>Trung bình</x:v>
      </x:c>
    </x:row>
    <x:row r="13" ht="57.75" customHeight="1">
      <x:c r="A13" s="35" t="str">
        <x:v>C9 Tránh dùng từ sáo rỗng/mẫu có sẵn</x:v>
      </x:c>
      <x:c r="B13" s="36" t="n">
        <x:v>3</x:v>
      </x:c>
      <x:c r="C13" s="37" t="n">
        <x:v>4</x:v>
      </x:c>
      <x:c r="D13" s="38" t="str">
        <x:f t="shared" si="0"/>
        <x:v>V3</x:v>
      </x:c>
      <x:c r="E13" s="35" t="str">
        <x:v>Số cụm từ sáo rỗng trên 1.000 ký tự: 5,79 → 3,78 (càng thấp càng tốt)</x:v>
      </x:c>
      <x:c r="F13" s="35" t="str">
        <x:v>V3 ít sử dụng các trạng từ vô nghĩa và vị ngữ sáo rỗng hơn. Ngay cả khi kiểm soát trên 3 câu, V3 vẫn chiếm ưu thế với mức giảm từ 5,33 → 3,65.</x:v>
      </x:c>
      <x:c r="G13" s="40" t="str">
        <x:v>Cao</x:v>
      </x:c>
    </x:row>
    <x:row r="14" ht="57.75" customHeight="1">
      <x:c r="A14" s="35" t="str">
        <x:v>Độ đa dạng từ vựng C10</x:v>
      </x:c>
      <x:c r="B14" s="36" t="n">
        <x:v>4</x:v>
      </x:c>
      <x:c r="C14" s="37" t="n">
        <x:v>4</x:v>
      </x:c>
      <x:c r="D14" s="38" t="str">
        <x:f t="shared" si="0"/>
        <x:v>Ngang nhau</x:v>
      </x:c>
      <x:c r="E14" s="35" t="str">
        <x:v>MATTR 0,9386 → 0,9380 (2 câu đầu của V2 so với toàn bộ V3, có kiểm soát độ dài)</x:v>
      </x:c>
      <x:c r="F14" s="39" t="str">
        <x:v>Sự khác biệt không có ý nghĩa thống kê. Ngay cả khi không kiểm soát độ dài, kết quả vẫn ngang nhau ở mức 0,940 so với 0,938.</x:v>
      </x:c>
      <x:c r="G14" s="40" t="str">
        <x:v>Cao</x:v>
      </x:c>
    </x:row>
    <x:row r="15" ht="15" customHeight="1">
      <x:c r="A15" s="13"/>
      <x:c r="B15" s="13"/>
      <x:c r="C15" s="13"/>
      <x:c r="D15" s="13"/>
      <x:c r="E15" s="13"/>
      <x:c r="F15" s="13"/>
      <x:c r="G15" s="13"/>
    </x:row>
    <x:row r="16" ht="16.5" customHeight="1">
      <x:c r="A16" s="33" t="str">
        <x:v>Tổng điểm có trọng số (quy đổi sang thang 100)</x:v>
      </x:c>
      <x:c r="B16" s="13"/>
      <x:c r="C16" s="13"/>
      <x:c r="D16" s="13"/>
      <x:c r="E16" s="13"/>
      <x:c r="F16" s="13"/>
      <x:c r="G16" s="13"/>
    </x:row>
    <x:row r="17" ht="15" customHeight="1">
      <x:c r="A17" s="41" t="str">
        <x:v>Trọng số A — Góc nhìn chất lượng bản thảo báo cáo</x:v>
      </x:c>
      <x:c r="B17" s="16" t="n">
        <x:v>80.8</x:v>
      </x:c>
      <x:c r="C17" s="16" t="n">
        <x:v>70</x:v>
      </x:c>
      <x:c r="D17" s="17" t="str">
        <x:v>V2 ưu thế</x:v>
      </x:c>
      <x:c r="E17" s="13"/>
      <x:c r="F17" s="13"/>
      <x:c r="G17" s="13"/>
    </x:row>
    <x:row r="18" ht="15" customHeight="1">
      <x:c r="A18" s="41" t="str">
        <x:v>Trọng số B — Góc nhìn độ tự nhiên như người viết</x:v>
      </x:c>
      <x:c r="B18" s="16" t="n">
        <x:v>83.2</x:v>
      </x:c>
      <x:c r="C18" s="16" t="n">
        <x:v>67</x:v>
      </x:c>
      <x:c r="D18" s="17" t="str">
        <x:v>V2 ưu thế</x:v>
      </x:c>
      <x:c r="E18" s="13"/>
      <x:c r="F18" s="13"/>
      <x:c r="G18" s="13"/>
    </x:row>
    <x:row r="19" ht="15" customHeight="1">
      <x:c r="A19" s="41" t="str">
        <x:v>Trung bình cộng (không trọng số)</x:v>
      </x:c>
      <x:c r="B19" s="16" t="n">
        <x:v>82</x:v>
      </x:c>
      <x:c r="C19" s="16" t="n">
        <x:v>70</x:v>
      </x:c>
      <x:c r="D19" s="17" t="str">
        <x:v>V2 ưu thế</x:v>
      </x:c>
      <x:c r="E19" s="13"/>
      <x:c r="F19" s="13"/>
      <x:c r="G19" s="13"/>
    </x:row>
    <x:row r="20" ht="15" customHeight="1">
      <x:c r="A20" s="41" t="str">
        <x:v>Thắng thua theo hạng mục (V2 thắng / V3 thắng / Hòa)</x:v>
      </x:c>
      <x:c r="B20" s="42" t="n">
        <x:v>5</x:v>
      </x:c>
      <x:c r="C20" s="42" t="n">
        <x:v>2</x:v>
      </x:c>
      <x:c r="D20" s="17" t="str">
        <x:v>3 mục hòa</x:v>
      </x:c>
      <x:c r="E20" s="13"/>
      <x:c r="F20" s="13"/>
      <x:c r="G20" s="13"/>
    </x:row>
  </x:sheetData>
  <x:pageMargins left="0.7" right="0.7" top="0.75" bottom="0.75" header="0.3" footer="0.3"/>
</x:worksheet>
</file>

<file path=xl/worksheets/sheet4.xml><?xml version="1.0" encoding="utf-8"?>
<x:worksheet xmlns:x="http://schemas.openxmlformats.org/spreadsheetml/2006/main">
  <x:sheetFormatPr defaultColWidth="8.6328125" defaultRowHeight="14.5"/>
  <x:cols>
    <x:col min="1" max="1" width="12" customWidth="1"/>
    <x:col min="2" max="2" width="38" customWidth="1"/>
    <x:col min="3" max="4" width="12" customWidth="1"/>
    <x:col min="5" max="5" width="10" customWidth="1"/>
    <x:col min="6" max="6" width="62" customWidth="1"/>
  </x:cols>
  <x:sheetData>
    <x:row r="1" ht="22.5" customHeight="1">
      <x:c r="A1" s="24" t="str">
        <x:v>Giá trị chỉ số đo lường gốc — Giá trị tổng hợp từ sheet 04_So_sanh_theo_muc</x:v>
      </x:c>
      <x:c r="B1" s="13"/>
      <x:c r="C1" s="13"/>
      <x:c r="D1" s="13"/>
      <x:c r="E1" s="13"/>
      <x:c r="F1" s="13"/>
    </x:row>
    <x:row r="2" ht="15" customHeight="1">
      <x:c r="A2" s="14" t="str">
        <x:v>Tất cả các con số là công thức tham chiếu đến sheet 04. Khi giá trị ở sheet 04 thay đổi, giá trị tại đây cũng sẽ được cập nhật theo.</x:v>
      </x:c>
      <x:c r="B2" s="13"/>
      <x:c r="C2" s="13"/>
      <x:c r="D2" s="13"/>
      <x:c r="E2" s="13"/>
      <x:c r="F2" s="13"/>
    </x:row>
    <x:row r="3" ht="15" customHeight="1">
      <x:c r="A3" s="25" t="str">
        <x:v>"Dựa trên số lượng bản viết của cả hai bên (65 trường hợp)" = Chỉ đối tượng là các chỉ số có nội dung ở cả V2 và V3. Để đảm bảo công bằng, các trường hợp chỉ một bên viết phải được loại trừ khỏi so sánh văn phong.</x:v>
      </x:c>
      <x:c r="B3" s="13"/>
      <x:c r="C3" s="13"/>
      <x:c r="D3" s="13"/>
      <x:c r="E3" s="13"/>
      <x:c r="F3" s="13"/>
    </x:row>
    <x:row r="4" ht="15" customHeight="1">
      <x:c r="A4" s="13"/>
      <x:c r="B4" s="13"/>
      <x:c r="C4" s="13"/>
      <x:c r="D4" s="13"/>
      <x:c r="E4" s="13"/>
      <x:c r="F4" s="13"/>
    </x:row>
    <x:row r="5" ht="33.75" customHeight="1">
      <x:c r="A5" s="27" t="str">
        <x:v>Phân loại</x:v>
      </x:c>
      <x:c r="B5" s="27" t="str">
        <x:v>Chỉ số</x:v>
      </x:c>
      <x:c r="C5" s="34" t="str">
        <x:v>V2</x:v>
      </x:c>
      <x:c r="D5" s="34" t="str">
        <x:v>V3</x:v>
      </x:c>
      <x:c r="E5" s="27" t="str">
        <x:v>Ưu thế</x:v>
      </x:c>
      <x:c r="F5" s="27" t="str">
        <x:v>Giải thích / Lưu ý</x:v>
      </x:c>
    </x:row>
    <x:row r="6" ht="39.75" customHeight="1">
      <x:c r="A6" s="40" t="str">
        <x:v>Quy mô</x:v>
      </x:c>
      <x:c r="B6" s="39" t="str">
        <x:v>Số lượng soạn thảo (trong tổng số 95)</x:v>
      </x:c>
      <x:c r="C6" s="43" t="n">
        <x:v>82</x:v>
      </x:c>
      <x:c r="D6" s="44" t="n">
        <x:v>70</x:v>
      </x:c>
      <x:c r="E6" s="38" t="str">
        <x:v>V2</x:v>
      </x:c>
      <x:c r="F6" s="35" t="str">
        <x:v>V2 82 trường hợp / V3 70 trường hợp. Cả hai đều viết 65, chỉ V2 viết 17, chỉ V3 viết 5, cả hai đều để trống 8.</x:v>
      </x:c>
    </x:row>
    <x:row r="7" ht="39.75" customHeight="1">
      <x:c r="A7" s="40" t="str">
        <x:v>Quy mô</x:v>
      </x:c>
      <x:c r="B7" s="39" t="str">
        <x:v>Số ký tự trung bình (phần viết ở cả hai bên)</x:v>
      </x:c>
      <x:c r="C7" s="43" t="n">
        <x:v>555.2307692307693</x:v>
      </x:c>
      <x:c r="D7" s="44" t="n">
        <x:v>215.6153846153846</x:v>
      </x:c>
      <x:c r="E7" s="40" t="str">
        <x:v>Tham khảo</x:v>
      </x:c>
      <x:c r="F7" s="35" t="str">
        <x:v>V2 dài hơn 2,6 lần. Sự chênh lệch về độ dài này làm sai lệch nhiều chỉ số bên dưới, vì vậy nhất thiết phải xem cùng với kết quả kiểm soát độ dài.</x:v>
      </x:c>
    </x:row>
    <x:row r="8" ht="39.75" customHeight="1">
      <x:c r="A8" s="40" t="str">
        <x:v>Quy mô</x:v>
      </x:c>
      <x:c r="B8" s="39" t="str">
        <x:v>Số câu trung bình (phần viết ở cả hai bên)</x:v>
      </x:c>
      <x:c r="C8" s="43" t="n">
        <x:v>5.907692307692308</x:v>
      </x:c>
      <x:c r="D8" s="44" t="n">
        <x:v>2.3076923076923075</x:v>
      </x:c>
      <x:c r="E8" s="40" t="str">
        <x:v>Tham khảo</x:v>
      </x:c>
      <x:c r="F8" s="35" t="str">
        <x:v>V2 5.9 câu / V3 2.3 câu. V3 thực chất có độ dài ở mức tóm tắt.</x:v>
      </x:c>
    </x:row>
    <x:row r="9" ht="39.75" customHeight="1">
      <x:c r="A9" s="40" t="str">
        <x:v>Độ rõ ràng</x:v>
      </x:c>
      <x:c r="B9" s="39" t="str">
        <x:v>Độ dài câu trung bình (ký tự)</x:v>
      </x:c>
      <x:c r="C9" s="43" t="n">
        <x:v>92.98923076923077</x:v>
      </x:c>
      <x:c r="D9" s="44" t="n">
        <x:v>94.09076923076923</x:v>
      </x:c>
      <x:c r="E9" s="40" t="str">
        <x:v>Tham khảo</x:v>
      </x:c>
      <x:c r="F9" s="35" t="str">
        <x:v>93.0 ký tự vs 94.1 ký tự — thực chất là hòa. Cả hai đều vượt quá mức 60~80 ký tự khuyến nghị cho báo cáo tiếng Hàn (điểm cần cải thiện chung).</x:v>
      </x:c>
    </x:row>
    <x:row r="10" ht="39.75" customHeight="1">
      <x:c r="A10" s="40" t="str">
        <x:v>Độ rõ ràng</x:v>
      </x:c>
      <x:c r="B10" s="35" t="str">
        <x:v>Tỷ lệ câu dài vượt quá 120 ký tự</x:v>
      </x:c>
      <x:c r="C10" s="43" t="n">
        <x:v>0.156</x:v>
      </x:c>
      <x:c r="D10" s="44" t="n">
        <x:v>0.18</x:v>
      </x:c>
      <x:c r="E10" s="38" t="str">
        <x:v>V2</x:v>
      </x:c>
      <x:c r="F10" s="35" t="str">
        <x:v>V2 60/384 câu, V3 27/150 câu. V2 ưu thế hơn một chút.</x:v>
      </x:c>
    </x:row>
    <x:row r="11" ht="39.75" customHeight="1">
      <x:c r="A11" s="40" t="str">
        <x:v>Phong cách viết</x:v>
      </x:c>
      <x:c r="B11" s="39" t="str">
        <x:v>Hệ số biến thiên độ dài câu CV (Tổng thể)</x:v>
      </x:c>
      <x:c r="C11" s="43" t="n">
        <x:v>0.23001538461538465</x:v>
      </x:c>
      <x:c r="D11" s="44" t="n">
        <x:v>0.1846615384615384</x:v>
      </x:c>
      <x:c r="E11" s="38" t="str">
        <x:v>V2</x:v>
      </x:c>
      <x:c r="F11" s="39" t="str">
        <x:v>Về bề mặt V2 chiếm ưu thế (0.230 so với 0.185), nhưng đây là ảo giác do câu trả lời của V3 ngắn hơn.</x:v>
      </x:c>
    </x:row>
    <x:row r="12" ht="39.75" customHeight="1">
      <x:c r="A12" s="40" t="str">
        <x:v>Phong cách viết</x:v>
      </x:c>
      <x:c r="B12" s="39" t="str">
        <x:v>CV độ dài câu — Chỉ tính 28 trường hợp có từ 3 câu trở lên</x:v>
      </x:c>
      <x:c r="C12" s="43" t="n">
        <x:v>0.242</x:v>
      </x:c>
      <x:c r="D12" s="44" t="n">
        <x:v>0.249</x:v>
      </x:c>
      <x:c r="E12" s="38" t="str">
        <x:v>V3</x:v>
      </x:c>
      <x:c r="F12" s="39" t="str">
        <x:v>★ Nếu điều chỉnh độ dài, kết quả sẽ đảo ngược. Độ biến thiên (burstiness) thực tế là tương đương và V3 ưu thế nhẹ. Đây là ví dụ điển hình cho việc dễ phán đoán sai nếu chỉ nhìn vào trung bình tổng thể.</x:v>
      </x:c>
    </x:row>
    <x:row r="13" ht="39.75" customHeight="1">
      <x:c r="A13" s="40" t="str">
        <x:v>Phong cách viết</x:v>
      </x:c>
      <x:c r="B13" s="35" t="str">
        <x:v>Độ đa dạng từ vựng MATTR (Tổng thể)</x:v>
      </x:c>
      <x:c r="C13" s="43" t="n">
        <x:v>0.9402446153846159</x:v>
      </x:c>
      <x:c r="D13" s="44" t="n">
        <x:v>0.9380323076923079</x:v>
      </x:c>
      <x:c r="E13" s="38" t="str">
        <x:v>V2</x:v>
      </x:c>
      <x:c r="F13" s="35" t="str">
        <x:v>0.940 so với 0.938 — không có sự khác biệt.</x:v>
      </x:c>
    </x:row>
    <x:row r="14" ht="39.75" customHeight="1">
      <x:c r="A14" s="40" t="str">
        <x:v>Phong cách văn bản</x:v>
      </x:c>
      <x:c r="B14" s="35" t="str">
        <x:v>MATTR — Kiểm soát độ dài (2 câu đầu V2 so với toàn bộ V3)</x:v>
      </x:c>
      <x:c r="C14" s="43" t="n">
        <x:v>0.9386</x:v>
      </x:c>
      <x:c r="D14" s="44" t="n">
        <x:v>0.938</x:v>
      </x:c>
      <x:c r="E14" s="40" t="str">
        <x:v>Tham khảo</x:v>
      </x:c>
      <x:c r="F14" s="39" t="str">
        <x:v>Chênh lệch 0.0006 — Xác định hòa. Không thể phân biệt hai phiên bản dựa trên sự đa dạng từ vựng.</x:v>
      </x:c>
    </x:row>
    <x:row r="15" ht="39.75" customHeight="1">
      <x:c r="A15" s="40" t="str">
        <x:v>Phong cách văn bản</x:v>
      </x:c>
      <x:c r="B15" s="35" t="str">
        <x:v>Số lượng từ sáo rỗng trên 1.000 ký tự</x:v>
      </x:c>
      <x:c r="C15" s="43" t="n">
        <x:v>5.78723076923077</x:v>
      </x:c>
      <x:c r="D15" s="44" t="n">
        <x:v>3.7833846153846147</x:v>
      </x:c>
      <x:c r="E15" s="38" t="str">
        <x:v>V3</x:v>
      </x:c>
      <x:c r="F15" s="35" t="str">
        <x:v>★ V3 ưu thế. Ví dụ: "liên tục/tích cực/một cách hệ thống/đang nỗ lực". Ngay cả khi kiểm soát trên 3 câu, tỷ lệ vẫn duy trì ở mức 5.33 so với 3.65.</x:v>
      </x:c>
    </x:row>
    <x:row r="16" ht="39.75" customHeight="1">
      <x:c r="A16" s="40" t="str">
        <x:v>Tính trung thực</x:v>
      </x:c>
      <x:c r="B16" s="39" t="str">
        <x:v>Tỷ lệ khớp căn cứ (Trùng lặp 4-gram ký tự so với Evidence)</x:v>
      </x:c>
      <x:c r="C16" s="43" t="n">
        <x:v>0.4077076923076923</x:v>
      </x:c>
      <x:c r="D16" s="44" t="n">
        <x:v>0.6285692307692307</x:v>
      </x:c>
      <x:c r="E16" s="38" t="str">
        <x:v>V3</x:v>
      </x:c>
      <x:c r="F16" s="39" t="str">
        <x:v>★ Khoảng cách lớn nhất. V3 ưu thế 59/65. V2 tạo ra một lượng đáng kể các mô tả không có trong Evidence.</x:v>
      </x:c>
    </x:row>
    <x:row r="17" ht="39.75" customHeight="1">
      <x:c r="A17" s="40" t="str">
        <x:v>Tính trung thực</x:v>
      </x:c>
      <x:c r="B17" s="39" t="str">
        <x:v>Tỷ lệ khớp căn cứ — Nội bộ V2: 2 câu đầu (Cột C) vs câu sau (Cột D)</x:v>
      </x:c>
      <x:c r="C17" s="43" t="n">
        <x:v>0.477</x:v>
      </x:c>
      <x:c r="D17" s="44" t="n">
        <x:v>0.357</x:v>
      </x:c>
      <x:c r="E17" s="40" t="str">
        <x:v>Tham khảo</x:v>
      </x:c>
      <x:c r="F17" s="35" t="str">
        <x:v>★ Vì là đối chiếu nội bộ V2 nên cột C·D không phải là V2/V3. Càng về sau càng xa rời căn cứ (46 trên 57 trường hợp). Phần lớn nội dung bổ sung của V2 là mở rộng không có căn cứ.</x:v>
      </x:c>
    </x:row>
    <x:row r="18" ht="39.75" customHeight="1">
      <x:c r="A18" s="40" t="str">
        <x:v>Tính trung thực</x:v>
      </x:c>
      <x:c r="B18" s="39" t="str">
        <x:v>Phán quyết ưu thế căn cứ (V2 thắng / V3 thắng)</x:v>
      </x:c>
      <x:c r="C18" s="43" t="n">
        <x:v>6</x:v>
      </x:c>
      <x:c r="D18" s="44" t="n">
        <x:v>59</x:v>
      </x:c>
      <x:c r="E18" s="38" t="str">
        <x:v>V3</x:v>
      </x:c>
      <x:c r="F18" s="35" t="str">
        <x:v>V3 ưu thế 59 trên tổng số 65 trường hợp.</x:v>
      </x:c>
    </x:row>
    <x:row r="19" ht="39.75" customHeight="1">
      <x:c r="A19" s="40" t="str">
        <x:v>Độ phù hợp</x:v>
      </x:c>
      <x:c r="B19" s="39" t="str">
        <x:v>Tỷ lệ đáp ứng từ khóa hạng mục</x:v>
      </x:c>
      <x:c r="C19" s="43" t="n">
        <x:v>0.8561538461538459</x:v>
      </x:c>
      <x:c r="D19" s="44" t="n">
        <x:v>0.6115384615384616</x:v>
      </x:c>
      <x:c r="E19" s="38" t="str">
        <x:v>V2</x:v>
      </x:c>
      <x:c r="F19" s="35" t="str">
        <x:v>★ V2 ưu thế. Tỷ lệ nội dung thực tế đề cập đến các từ khóa chủ đề mà Field yêu cầu.</x:v>
      </x:c>
    </x:row>
    <x:row r="20" ht="39.75" customHeight="1">
      <x:c r="A20" s="40" t="str">
        <x:v>Độ phù hợp</x:v>
      </x:c>
      <x:c r="B20" s="39" t="str">
        <x:v>Phán quyết ưu thế độ phù hợp (V2 thắng / V3 thắng)</x:v>
      </x:c>
      <x:c r="C20" s="43" t="n">
        <x:v>43</x:v>
      </x:c>
      <x:c r="D20" s="44" t="n">
        <x:v>5</x:v>
      </x:c>
      <x:c r="E20" s="38" t="str">
        <x:v>V2</x:v>
      </x:c>
      <x:c r="F20" s="35" t="str">
        <x:v>Trong 65 trường hợp, V2 ưu thế 43, V3 5, hòa 17.</x:v>
      </x:c>
    </x:row>
    <x:row r="21" ht="39.75" customHeight="1">
      <x:c r="A21" s="40" t="str">
        <x:v>Tính cụ thể</x:v>
      </x:c>
      <x:c r="B21" s="39" t="str">
        <x:v>Số lượng con số xuất hiện trung bình</x:v>
      </x:c>
      <x:c r="C21" s="43" t="n">
        <x:v>12.923076923076923</x:v>
      </x:c>
      <x:c r="D21" s="44" t="n">
        <x:v>2.769230769230769</x:v>
      </x:c>
      <x:c r="E21" s="38" t="str">
        <x:v>V2</x:v>
      </x:c>
      <x:c r="F21" s="35" t="str">
        <x:v>V2 12.9 cái / V3 2.8 cái. Ngay cả khi chia theo độ dài, V2 vẫn ưu thế với 23.3 so với 12.8 trên 1.000 ký tự.</x:v>
      </x:c>
    </x:row>
    <x:row r="22" ht="39.75" customHeight="1">
      <x:c r="A22" s="40" t="str">
        <x:v>Độ tự nhiên</x:v>
      </x:c>
      <x:c r="B22" s="39" t="str">
        <x:v>Tổng số lần xuất hiện cụm từ phòng vệ nguồn ("theo tài liệu~")</x:v>
      </x:c>
      <x:c r="C22" s="43" t="n">
        <x:v>0</x:v>
      </x:c>
      <x:c r="D22" s="44" t="n">
        <x:v>24</x:v>
      </x:c>
      <x:c r="E22" s="38" t="str">
        <x:v>V2</x:v>
      </x:c>
      <x:c r="F22" s="35" t="str">
        <x:v>★ V2 0 trường hợp / V3 24 trường hợp (34.3% trong số 70 bản viết). Đây là cách diễn đạt không có trong báo cáo do con người viết — yếu tố bị trừ điểm nặng nhất về độ tương đồng với con người.</x:v>
      </x:c>
    </x:row>
    <x:row r="23" ht="39.75" customHeight="1">
      <x:c r="A23" s="40" t="str">
        <x:v>Độ tự nhiên</x:v>
      </x:c>
      <x:c r="B23" s="39" t="str">
        <x:v>Số trường hợp lỗi kết nối giữa câu</x:v>
      </x:c>
      <x:c r="C23" s="43" t="n">
        <x:v>0</x:v>
      </x:c>
      <x:c r="D23" s="44" t="n">
        <x:v>5</x:v>
      </x:c>
      <x:c r="E23" s="38" t="str">
        <x:v>V2</x:v>
      </x:c>
      <x:c r="F23" s="35" t="str">
        <x:v>Các trường hợp trở thành câu không hoàn chỉnh do bị ngắt quãng và chèn vào như "Ngoài ra, theo tài liệu đánh giá bên ngoài, ~". V3 có 5 trường hợp.</x:v>
      </x:c>
    </x:row>
    <x:row r="24" ht="39.75" customHeight="1">
      <x:c r="A24" s="40" t="str">
        <x:v>Tính cân bằng</x:v>
      </x:c>
      <x:c r="B24" s="39" t="str">
        <x:v>Tỷ lệ câu trả lời đề cập đến rủi ro và thách thức</x:v>
      </x:c>
      <x:c r="C24" s="43" t="n">
        <x:v>0.598</x:v>
      </x:c>
      <x:c r="D24" s="44" t="n">
        <x:v>0.371</x:v>
      </x:c>
      <x:c r="E24" s="38" t="str">
        <x:v>V2</x:v>
      </x:c>
      <x:c r="F24" s="35" t="str">
        <x:v>V2 chiếm ưu thế, nhưng cần lưu ý rằng nội dung chính dài hơn 2,6 lần nên có nhiều cơ hội xuất hiện hơn.</x:v>
      </x:c>
    </x:row>
  </x:sheetData>
  <x:pageMargins left="0.7" right="0.7" top="0.75" bottom="0.75" header="0.3" footer="0.3"/>
</x:worksheet>
</file>

<file path=xl/worksheets/sheet5.xml><?xml version="1.0" encoding="utf-8"?>
<x:worksheet xmlns:x="http://schemas.openxmlformats.org/spreadsheetml/2006/main">
  <x:sheetFormatPr defaultColWidth="8.6328125" defaultRowHeight="14.5"/>
  <x:cols>
    <x:col min="1" max="1" width="13" customWidth="1"/>
    <x:col min="2" max="2" width="34" customWidth="1"/>
    <x:col min="3" max="3" width="30" customWidth="1"/>
    <x:col min="4" max="5" width="60" customWidth="1"/>
    <x:col min="6" max="29" width="11" customWidth="1"/>
    <x:col min="30" max="30" width="46" customWidth="1"/>
  </x:cols>
  <x:sheetData>
    <x:row r="1" ht="33.75" customHeight="1">
      <x:c r="A1" s="27" t="str">
        <x:v>ID Chỉ số</x:v>
      </x:c>
      <x:c r="B1" s="27" t="str">
        <x:v>Trường (V2)</x:v>
      </x:c>
      <x:c r="C1" s="27" t="str">
        <x:v>Trường (V3)</x:v>
      </x:c>
      <x:c r="D1" s="34" t="str">
        <x:v>Nội dung chính V2</x:v>
      </x:c>
      <x:c r="E1" s="34" t="str">
        <x:v>Nội dung V3</x:v>
      </x:c>
      <x:c r="F1" s="34" t="str">
        <x:v>Soạn thảo V2</x:v>
      </x:c>
      <x:c r="G1" s="34" t="str">
        <x:v>Soạn thảo V3</x:v>
      </x:c>
      <x:c r="H1" s="34" t="str">
        <x:v>Số ký tự V2</x:v>
      </x:c>
      <x:c r="I1" s="34" t="str">
        <x:v>Số ký tự V3</x:v>
      </x:c>
      <x:c r="J1" s="34" t="str">
        <x:v>Số câu V2</x:v>
      </x:c>
      <x:c r="K1" s="34" t="str">
        <x:v>Số câu V3</x:v>
      </x:c>
      <x:c r="L1" s="34" t="str">
        <x:v>Độ dài câu trung bình V2</x:v>
      </x:c>
      <x:c r="M1" s="34" t="str">
        <x:v>V3 Độ dài câu trung bình</x:v>
      </x:c>
      <x:c r="N1" s="34" t="str">
        <x:v>V2 CV</x:v>
      </x:c>
      <x:c r="O1" s="34" t="str">
        <x:v>V3 CV</x:v>
      </x:c>
      <x:c r="P1" s="34" t="str">
        <x:v>V2 MATTR</x:v>
      </x:c>
      <x:c r="Q1" s="34" t="str">
        <x:v>V3 MATTR</x:v>
      </x:c>
      <x:c r="R1" s="34" t="str">
        <x:v>V2 Tỷ lệ khớp căn cứ</x:v>
      </x:c>
      <x:c r="S1" s="34" t="str">
        <x:v>V3 Tỷ lệ khớp căn cứ</x:v>
      </x:c>
      <x:c r="T1" s="34" t="str">
        <x:v>V2 Độ phù hợp hạng mục</x:v>
      </x:c>
      <x:c r="U1" s="34" t="str">
        <x:v>Độ phù hợp mục V3</x:v>
      </x:c>
      <x:c r="V1" s="34" t="str">
        <x:v>Từ sáo rỗng/1.000 ký tự V2</x:v>
      </x:c>
      <x:c r="W1" s="34" t="str">
        <x:v>Từ sáo rỗng/1.000 ký tự V3</x:v>
      </x:c>
      <x:c r="X1" s="34" t="str">
        <x:v>Số lượng chữ số V2</x:v>
      </x:c>
      <x:c r="Y1" s="34" t="str">
        <x:v>Số lượng chữ số V3</x:v>
      </x:c>
      <x:c r="Z1" s="34" t="str">
        <x:v>Cụm từ phòng ngừa V3</x:v>
      </x:c>
      <x:c r="AA1" s="34" t="str">
        <x:v>Lỗi kết nối V3</x:v>
      </x:c>
      <x:c r="AB1" s="27" t="str">
        <x:v>Căn cứ ưu thế</x:v>
      </x:c>
      <x:c r="AC1" s="27" t="str">
        <x:v>Phù hợp ưu thế</x:v>
      </x:c>
      <x:c r="AD1" s="27" t="str">
        <x:v>Trạng thái(V3)</x:v>
      </x:c>
    </x:row>
    <x:row r="2" ht="42" customHeight="1">
      <x:c r="A2" s="45" t="str">
        <x:v>EBX-Q-001</x:v>
      </x:c>
      <x:c r="B2" s="46" t="str">
        <x:v>Tổng quát / Chiến lược (Strategy) / Tầm nhìn ESG và Chiến lược trung và dài hạn</x:v>
      </x:c>
      <x:c r="C2" s="47" t="str">
        <x:v>Quản trị ESG / Tầm nhìn ESG và Chiến lược trung và dài hạn</x:v>
      </x:c>
      <x:c r="D2" s="48" t="str">
        <x:v>Daewoong Pharmaceutical đã thiết lập tầm nhìn ESG là doanh nghiệp bảo vệ sức khỏe của nhân loại và trái đất, đồng thời thúc đẩy quản trị ESG cân bằng giữa tính bền vững về kinh tế, xã hội và môi trường. Đặc biệt, công ty đang thúc đẩy quản trị đạo đức tiến bộ để trở thành một doanh nghiệp đáng tin cậy thông qua việc tăng cường quản trị đạo đức, đồng thời liên tục củng cố việc nâng cao hệ thống ESG và thực hiện quản trị có trách nhiệm.</x:v>
      </x:c>
      <x:c r="E2" s="49" t="str">
        <x:v>Theo tài liệu đề xuất đang được xem xét, Daewoong Pharmaceutical đang thúc đẩy quản trị ESG cân bằng giữa tính bền vững về kinh tế, xã hội và môi trường dưới tầm nhìn ESG là 'Doanh nghiệp bảo vệ sức khỏe của nhân loại và trái đất'. Dựa trên chiến lược 'CARE for people and planet', công ty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c r="F2" s="50" t="n">
        <x:f t="shared" ref="F2:F33" si="0">IF(LEN(D2)&gt;0,1,0)</x:f>
        <x:v>1</x:v>
      </x:c>
      <x:c r="G2" s="50" t="n">
        <x:f t="shared" ref="G2:G33" si="1">IF(LEN(E2)&gt;0,1,0)</x:f>
        <x:v>1</x:v>
      </x:c>
      <x:c r="H2" s="45" t="n">
        <x:v>186</x:v>
      </x:c>
      <x:c r="I2" s="45" t="n">
        <x:v>254</x:v>
      </x:c>
      <x:c r="J2" s="45" t="n">
        <x:v>2</x:v>
      </x:c>
      <x:c r="K2" s="45" t="n">
        <x:v>2</x:v>
      </x:c>
      <x:c r="L2" s="45" t="n">
        <x:v>92.5</x:v>
      </x:c>
      <x:c r="M2" s="45" t="n">
        <x:v>126.5</x:v>
      </x:c>
      <x:c r="N2" s="45" t="n">
        <x:v>0.038</x:v>
      </x:c>
      <x:c r="O2" s="45" t="n">
        <x:v>0.194</x:v>
      </x:c>
      <x:c r="P2" s="45" t="n">
        <x:v>0.9167</x:v>
      </x:c>
      <x:c r="Q2" s="45" t="n">
        <x:v>0.9676</x:v>
      </x:c>
      <x:c r="R2" s="45" t="n">
        <x:v>0.754</x:v>
      </x:c>
      <x:c r="S2" s="45" t="n">
        <x:v>0.791</x:v>
      </x:c>
      <x:c r="T2" s="45" t="n">
        <x:v>0.5</x:v>
      </x:c>
      <x:c r="U2" s="45" t="n">
        <x:v>0.75</x:v>
      </x:c>
      <x:c r="V2" s="45" t="n">
        <x:v>21.51</x:v>
      </x:c>
      <x:c r="W2" s="45" t="n">
        <x:v>11.81</x:v>
      </x:c>
      <x:c r="X2" s="45" t="n">
        <x:v>0</x:v>
      </x:c>
      <x:c r="Y2" s="45" t="n">
        <x:v>1</x:v>
      </x:c>
      <x:c r="Z2" s="45" t="n">
        <x:v>1</x:v>
      </x:c>
      <x:c r="AA2" s="45" t="n">
        <x:v>0</x:v>
      </x:c>
      <x:c r="AB2" s="50" t="str">
        <x:f t="shared" ref="AB2:AB33" si="2">IF(AND($F2=1,$G2=1),IF(R2&gt;S2,"V2",IF(S2&gt;R2,"V3","동률")),"비교불가")</x:f>
        <x:v>V3</x:v>
      </x:c>
      <x:c r="AC2" s="50" t="str">
        <x:f t="shared" ref="AC2:AC33" si="3">IF(AND($F2=1,$G2=1),IF(T2&gt;U2,"V2",IF(U2&gt;T2,"V3","동률")),"비교불가")</x:f>
        <x:v>V3</x:v>
      </x:c>
      <x:c r="AD2" s="47" t="str">
        <x:v>Answer: passed / Consumer Decision: answered_partial / QA Grade: cautious / Publication: review_required / Publication Reason: draft_evidence / Coverage: draft_evidence / RAG Coverage: insufficient / Answerable: False / Evidence: insufficient</x:v>
      </x:c>
    </x:row>
    <x:row r="3" ht="42" customHeight="1">
      <x:c r="A3" s="45" t="str">
        <x:v>EBX-Q-002</x:v>
      </x:c>
      <x:c r="B3" s="46" t="str">
        <x:v>Tổng quát / Quản trị (Governance) / Hệ thống ra quyết định và Quản trị ESG</x:v>
      </x:c>
      <x:c r="C3" s="47" t="str">
        <x:v>Quản trị ESG / Hệ thống quản trị và ra quyết định ESG</x:v>
      </x:c>
      <x:c r="D3" s="48" t="str">
        <x:v>Hội đồng quản trị của Daewoong Pharmaceutical bao gồm 6 thành viên, bao gồm cả Giám đốc điều hành, đóng vai trò là cơ quan ra quyết định cao nhất trong việc xem xét và phê duyệt chính sách quản trị an toàn môi trường, hiện trạng tổ chức, kết quả hoạt động, KPI, ngân sách và kế hoạch kinh doanh sức khỏe an toàn môi trường của tập đoàn. Hội đồng quản trị nhận báo cáo về các vấn đề chính của ESG và quản trị môi trường để xem xét định hướng chiến lược, đồng thời vận hành Ủy ban ESG và Ủy ban Quản trị EHS của Tập đoàn Daewoong để thực thi hiệu quả các định hướng này. Ủy ban ESG chịu trách nhiệm xem xét và thẩm định chiến lược ESG toàn công ty cũng như các vấn đề quản trị bền vững chính, trong khi Ủy ban Quản trị EHS của Tập đoàn Daewoong chịu trách nhiệm thiết lập chính sách, mục tiêu, nhiệm vụ thực hiện trong lĩnh vực Môi trường, An toàn và Sức khỏe (EHS) và kiểm tra tình hình thực hiện. Ngoài ra, để quản lý các hoạt động và thành quả quản lý môi trường tại từng cơ sở sản xuất và hỗ trợ hợp tác giữa các bộ phận, công ty vận hành Hội đồng Thư ký EHS nhằm tăng cường hệ thống quản lý tập trung vào hiện trường. Về hệ thống hỗ trợ thực thi, công ty đã xây dựng và vận hành Đội ESG và TF ESG. Đội ESG đóng vai trò là tổ chức hỗ trợ các giám đốc độc lập, hỗ trợ vận hành trơn tru ủy ban và xem xét các chương trình nghị sự ESG. Cùng với đó, TF ESG liên kết chặt chẽ với các bộ phận chuyên môn theo từng lĩnh vực để thúc đẩy các nhiệm vụ chính, quản lý tích hợp để giá trị quản trị ESG được nội hóa trong toàn tổ chức và dẫn đến kết quả thực tế. Thông qua cấu trúc quản trị hệ thống này, Daewoong Pharmaceutical đảm bảo tính hiệu quả của quản trị ESG trong toàn bộ quá trình từ lập chiến lược đến thực thi và kiểm tra.</x:v>
      </x:c>
      <x:c r="E3" s="49" t="str">
        <x:v>Theo tài liệu đề xuất đang được xem xét, Hội đồng quản trị là cơ quan ra quyết định cao nhất, nhận báo cáo về các vấn đề chính của ESG và quản trị môi trường và xem xét định hướng chiến lược; Ủy ban ESG trực thuộc Hội đồng quản trị xem xét và thẩm định chiến lược ESG toàn công ty và các vấn đề quản trị bền vững chính. Ủy ban Quản trị EHS của Tập đoàn Daewoong thiết lập chính sách, mục tiêu trong lĩnh vực Môi trường, An toàn, Sức khỏe (EHS) và kiểm tra tình hình thực hiện, trong khi Hội đồng Thư ký EHS quản lý các hoạt động và thành quả quản lý môi trường tại từng cơ sở sản xuất. Về mặt thực thi, Đội ESG hỗ trợ vận hành ủy ban và xem xét chương trình nghị sự, và TF ESG liên kết với các bộ phận chuyên môn theo từng lĩnh vực để thúc đẩy các nhiệm vụ chính.</x:v>
      </x:c>
      <x:c r="F3" s="50" t="n">
        <x:f t="shared" si="0"/>
        <x:v>1</x:v>
      </x:c>
      <x:c r="G3" s="50" t="n">
        <x:f t="shared" si="1"/>
        <x:v>1</x:v>
      </x:c>
      <x:c r="H3" s="45" t="n">
        <x:v>731</x:v>
      </x:c>
      <x:c r="I3" s="45" t="n">
        <x:v>292</x:v>
      </x:c>
      <x:c r="J3" s="45" t="n">
        <x:v>8</x:v>
      </x:c>
      <x:c r="K3" s="45" t="n">
        <x:v>3</x:v>
      </x:c>
      <x:c r="L3" s="45" t="n">
        <x:v>90.5</x:v>
      </x:c>
      <x:c r="M3" s="45" t="n">
        <x:v>96.7</x:v>
      </x:c>
      <x:c r="N3" s="45" t="n">
        <x:v>0.309</x:v>
      </x:c>
      <x:c r="O3" s="45" t="n">
        <x:v>0.178</x:v>
      </x:c>
      <x:c r="P3" s="45" t="n">
        <x:v>0.9344</x:v>
      </x:c>
      <x:c r="Q3" s="45" t="n">
        <x:v>0.9152</x:v>
      </x:c>
      <x:c r="R3" s="45" t="n">
        <x:v>0.528</x:v>
      </x:c>
      <x:c r="S3" s="45" t="n">
        <x:v>0.698</x:v>
      </x:c>
      <x:c r="T3" s="45" t="n">
        <x:v>1</x:v>
      </x:c>
      <x:c r="U3" s="45" t="n">
        <x:v>0.5</x:v>
      </x:c>
      <x:c r="V3" s="45" t="n">
        <x:v>4.1</x:v>
      </x:c>
      <x:c r="W3" s="45" t="n">
        <x:v>3.42</x:v>
      </x:c>
      <x:c r="X3" s="45" t="n">
        <x:v>1</x:v>
      </x:c>
      <x:c r="Y3" s="45" t="n">
        <x:v>0</x:v>
      </x:c>
      <x:c r="Z3" s="45" t="n">
        <x:v>1</x:v>
      </x:c>
      <x:c r="AA3" s="45" t="n">
        <x:v>0</x:v>
      </x:c>
      <x:c r="AB3" s="50" t="str">
        <x:f t="shared" si="2"/>
        <x:v>V3</x:v>
      </x:c>
      <x:c r="AC3" s="50" t="str">
        <x:f t="shared" si="3"/>
        <x:v>V2</x:v>
      </x:c>
      <x:c r="AD3" s="47" t="str">
        <x:v>Answer: passed / Consumer Decision: answered_partial / QA Grade: cautious / Publication: review_required / Publication Reason: draft_evidence / Coverage: draft_evidence / RAG Coverage: insufficient / Answerable: False / Evidence: insufficient</x:v>
      </x:c>
    </x:row>
    <x:row r="4" ht="42" customHeight="1">
      <x:c r="A4" s="45" t="str">
        <x:v>EBX-Q-003</x:v>
      </x:c>
      <x:c r="B4" s="46" t="str">
        <x:v>Tổng quát / Quản trị rủi ro (Risk Management) / Hệ thống nhận diện và quản lý rủi ro ESG</x:v>
      </x:c>
      <x:c r="C4" s="47" t="str">
        <x:v>Quản trị ESG / Hệ thống nhận diện và quản lý rủi ro ESG</x:v>
      </x:c>
      <x:c r="D4" s="48" t="str">
        <x:v>Daewoong Pharmaceutical đang vận hành hệ thống ứng phó tùy chỉnh theo từng lĩnh vực để nhận diện và quản lý một cách hệ thống các rủi ro bền vững trong toàn bộ chuỗi giá trị. Xem xét đặc thù của ngành dược phẩm và sinh học, công ty rà soát các điểm tiếp xúc với tự nhiên trong toàn bộ quá trình từ R&amp;D, thu mua nguyên liệu, sản xuất, đóng gói, phân phối, sử dụng sản phẩm cho đến xử lý thuốc hết hạn, đồng thời xác định mức độ ưu tiên quản lý rủi ro, tác động và sự phụ thuộc vào tự nhiên, tập trung vào các cơ sở kinh doanh chính trong nước. Đặc biệt, công ty đang tăng cường khả năng thực thi ứng phó bằng cách liên tục theo dõi lượng phát thải, mức tiêu thụ năng lượng, mức độ kiểm chứng và tình trạng thiệt hại theo các yếu tố chính như quy định môi trường, giá carbon, yêu cầu công bố thông tin, thời tiết cực đoan và sự gia tăng nhiệt độ trung bình. Để quản lý rủi ro chuỗi cung ứng, công ty áp dụng các tiêu chuẩn quản lý toàn diện bao quát toàn bộ ESG bao gồm quyền lao động, an toàn sức khỏe, môi trường và đạo đức của các công ty đối tác. Nhằm nhận diện trước các rủi ro bền vững trong chuỗi cung ứng, nghĩa vụ thẩm định được tích hợp vào hệ thống quản lý rủi ro, đồng thời hỗ trợ các công ty đối tác tự giác thực hiện quy tắc ứng xử và thực hành quản trị bền vững. Trong lĩnh vực bảo mật thông tin, để nâng cao bảo vệ thông tin cá nhân, công ty thực hiện nhận diện rủi ro và các biện pháp thực thi dựa trên 17 đối tượng kiểm tra. Công ty rà soát lại các vấn đề và hiện trạng của năm trước đối với các nghiệp vụ và hệ thống xử lý thông tin cá nhân chính để tìm ra các hạng mục còn thiếu sót, và hỗ trợ thực hiện các biện pháp bảo vệ thông qua kế hoạch thực hiện chi tiết. Thông qua đó, công ty đã hoàn thành biện pháp thực thi cho 27 trên tổng số 66 hạng mục, và 39 hạng mục còn lại hiện đang trong quá trình thực hiện.</x:v>
      </x:c>
      <x:c r="E4" s="49" t="str">
        <x:v>Daewoong Pharmaceutical vận hành hệ thống nhận diện và quản lý rủi ro ESG phù hợp với đặc thù của từng lĩnh vực. Theo tài liệu đề xuất đang được xem xét, để ứng phó với biến đổi khí hậu, công ty nhận diện các rủi ro chuyển đổi, rủi ro vật lý và cơ hội hiệu quả năng lượng theo khuyến nghị của TCFD, đồng thời theo dõi thông qua việc liên kết các chỉ số quản lý theo từng yếu tố chính như quy định môi trường và giá carbon. Đối với rủi ro vốn tự nhiên và đa dạng sinh học, công ty đã thiết lập quy trình đánh giá để rà soát các điểm tiếp xúc trong toàn bộ chuỗi giá trị và xác định mức độ ưu tiên quản lý bằng cách tham khảo phương pháp LEAP của TNFD. Ngoài ra, để nhận diện và quản lý trước các rủi ro bền vững trong chuỗi cung ứng, nghĩa vụ thẩm định đang được tích hợp vào hệ thống quản lý rủi ro, và trong lĩnh vực bảo mật thông tin, việc nhận diện rủi ro và thực hiện các biện pháp thực thi được triển khai dựa trên đối tượng kiểm tra và được quản lý thông qua giám sát.</x:v>
      </x:c>
      <x:c r="F4" s="50" t="n">
        <x:f t="shared" si="0"/>
        <x:v>1</x:v>
      </x:c>
      <x:c r="G4" s="50" t="n">
        <x:f t="shared" si="1"/>
        <x:v>1</x:v>
      </x:c>
      <x:c r="H4" s="45" t="n">
        <x:v>731</x:v>
      </x:c>
      <x:c r="I4" s="45" t="n">
        <x:v>380</x:v>
      </x:c>
      <x:c r="J4" s="45" t="n">
        <x:v>8</x:v>
      </x:c>
      <x:c r="K4" s="45" t="n">
        <x:v>4</x:v>
      </x:c>
      <x:c r="L4" s="45" t="n">
        <x:v>90.5</x:v>
      </x:c>
      <x:c r="M4" s="45" t="n">
        <x:v>94.2</x:v>
      </x:c>
      <x:c r="N4" s="45" t="n">
        <x:v>0.261</x:v>
      </x:c>
      <x:c r="O4" s="45" t="n">
        <x:v>0.334</x:v>
      </x:c>
      <x:c r="P4" s="45" t="n">
        <x:v>0.9604</x:v>
      </x:c>
      <x:c r="Q4" s="45" t="n">
        <x:v>0.951</x:v>
      </x:c>
      <x:c r="R4" s="45" t="n">
        <x:v>0.56</x:v>
      </x:c>
      <x:c r="S4" s="45" t="n">
        <x:v>0.487</x:v>
      </x:c>
      <x:c r="T4" s="45" t="n">
        <x:v>1</x:v>
      </x:c>
      <x:c r="U4" s="45" t="n">
        <x:v>1</x:v>
      </x:c>
      <x:c r="V4" s="45" t="n">
        <x:v>6.84</x:v>
      </x:c>
      <x:c r="W4" s="45" t="n">
        <x:v>2.63</x:v>
      </x:c>
      <x:c r="X4" s="45" t="n">
        <x:v>8</x:v>
      </x:c>
      <x:c r="Y4" s="45" t="n">
        <x:v>0</x:v>
      </x:c>
      <x:c r="Z4" s="45" t="n">
        <x:v>1</x:v>
      </x:c>
      <x:c r="AA4" s="45" t="n">
        <x:v>0</x:v>
      </x:c>
      <x:c r="AB4" s="50" t="str">
        <x:f t="shared" si="2"/>
        <x:v>V2</x:v>
      </x:c>
      <x:c r="AC4" s="50" t="str">
        <x:f t="shared" si="3"/>
        <x:v>Hòa</x:v>
      </x:c>
      <x:c r="AD4" s="47" t="str">
        <x:v>Answer: passed / Consumer Decision: answered_partial / QA Grade: cautious / Publication: review_required / Publication Reason: draft_evidence / Coverage: draft_evidence / RAG Coverage: complete / Answerable: True / Evidence: high_confidence</x:v>
      </x:c>
    </x:row>
    <x:row r="5" ht="42" customHeight="1">
      <x:c r="A5" s="45" t="str">
        <x:v>EBX-Q-004</x:v>
      </x:c>
      <x:c r="B5" s="46" t="str">
        <x:v>Xã hội / Chiến lược (Strategy) / Chính sách và mục tiêu an toàn sức khỏe</x:v>
      </x:c>
      <x:c r="C5" s="46" t="str">
        <x:v>An toàn sức khỏe / Chính sách và mục tiêu an toàn sức khỏe</x:v>
      </x:c>
      <x:c r="D5" s="48" t="str">
        <x:v>Daewoong Pharmaceutical đặt giá trị tôn trọng sự sống lên ưu tiên hàng đầu trong quản trị và vận hành chính sách quản trị môi trường, an toàn và sức khỏe, lấy môi trường, an toàn và sức khỏe làm nguyên tắc cốt lõi trong mọi hoạt động kinh doanh. Công ty thực hiện quản trị trách nhiệm vượt trên các tiêu chuẩn pháp lý bằng cách tuân thủ nghiêm ngặt các quy định pháp luật về môi trường, an toàn, sức khỏe trong và ngoài nước cũng như các công ước quốc tế, đồng thời xây dựng hệ thống quản lý cấp độ toàn cầu. Kế hoạch này được thực hiện sau khi thông qua sự xem xét và phê duyệt của Hội đồng quản trị, tập trung vào việc ngăn ngừa tai nạn tại nơi làm việc bằng cách tạo dựng văn hóa tuân thủ pháp luật cho nhân viên và các bên liên quan thông qua việc đạt được các mục tiêu quản trị EHS. Về mặt thực thi, công ty đã đạt được mục tiêu không có tai nạn cho năm 2025 và ghi nhận tỷ lệ hoàn thành 100% các khóa đào tạo theo luật định như đào tạo định kỳ cho người lao động, đào tạo khi tuyển dụng mới và đào tạo chuyên môn cho nhân lực chuyên trách. Ngoài ra, công ty đang đẩy mạnh các hoạt động đề xuất ngăn ngừa sự cố suýt soát (near-miss) tập trung vào bộ phận sản xuất và đang xây dựng hệ thống quản lý an toàn sức khỏe đầu tiên tại trụ sở chính. Cùng với đó, công ty quản lý tích hợp các tác động an toàn và sức khỏe thông qua việc vận hành chương trình tăng cường sức khỏe cho cán bộ nhân viên nhằm phòng ngừa bệnh tật và nâng cao năng suất.</x:v>
      </x:c>
      <x:c r="E5" s="49" t="str">
        <x:v>Daewoong Pharmaceutical đặt giá trị 'tôn trọng sự sống' là ưu tiên hàng đầu trong quản trị và vận hành chính sách quản trị môi trường, an toàn và sức khỏe, coi đây là nguyên tắc cốt lõi trong mọi hoạt động kinh doanh. Để đạt được điều này, công ty thực hiện quản trị trách nhiệm bằng cách tuân thủ nghiêm ngặt các quy định pháp luật trong và ngoài nước cũng như các công ước quốc tế, đồng thời thiết lập và vận hành hệ thống quản lý theo tiêu chuẩn toàn cầu. Ngoài ra, hàng năm công ty đều kiểm tra các nguyên tắc quản trị an toàn sức khỏe, lập kế hoạch về an toàn và sức khỏe để Hội đồng quản trị xem xét, phê duyệt và thực hiện, với mục tiêu đạt được không có tai nạn vào năm 2025.</x:v>
      </x:c>
      <x:c r="F5" s="50" t="n">
        <x:f t="shared" si="0"/>
        <x:v>1</x:v>
      </x:c>
      <x:c r="G5" s="50" t="n">
        <x:f t="shared" si="1"/>
        <x:v>1</x:v>
      </x:c>
      <x:c r="H5" s="45" t="n">
        <x:v>510</x:v>
      </x:c>
      <x:c r="I5" s="45" t="n">
        <x:v>254</x:v>
      </x:c>
      <x:c r="J5" s="45" t="n">
        <x:v>6</x:v>
      </x:c>
      <x:c r="K5" s="45" t="n">
        <x:v>3</x:v>
      </x:c>
      <x:c r="L5" s="45" t="n">
        <x:v>84.2</x:v>
      </x:c>
      <x:c r="M5" s="45" t="n">
        <x:v>84</x:v>
      </x:c>
      <x:c r="N5" s="45" t="n">
        <x:v>0.124</x:v>
      </x:c>
      <x:c r="O5" s="45" t="n">
        <x:v>0.138</x:v>
      </x:c>
      <x:c r="P5" s="45" t="n">
        <x:v>0.9641</x:v>
      </x:c>
      <x:c r="Q5" s="45" t="n">
        <x:v>0.9548</x:v>
      </x:c>
      <x:c r="R5" s="45" t="n">
        <x:v>0.476</x:v>
      </x:c>
      <x:c r="S5" s="45" t="n">
        <x:v>0.571</x:v>
      </x:c>
      <x:c r="T5" s="45" t="n">
        <x:v>0.667</x:v>
      </x:c>
      <x:c r="U5" s="45" t="n">
        <x:v>0.667</x:v>
      </x:c>
      <x:c r="V5" s="45" t="n">
        <x:v>3.92</x:v>
      </x:c>
      <x:c r="W5" s="45" t="n">
        <x:v>3.94</x:v>
      </x:c>
      <x:c r="X5" s="45" t="n">
        <x:v>7</x:v>
      </x:c>
      <x:c r="Y5" s="45" t="n">
        <x:v>4</x:v>
      </x:c>
      <x:c r="Z5" s="45" t="n">
        <x:v>0</x:v>
      </x:c>
      <x:c r="AA5" s="45" t="n">
        <x:v>0</x:v>
      </x:c>
      <x:c r="AB5" s="50" t="str">
        <x:f t="shared" si="2"/>
        <x:v>V3</x:v>
      </x:c>
      <x:c r="AC5" s="50" t="str">
        <x:f t="shared" si="3"/>
        <x:v>Hòa</x:v>
      </x:c>
      <x:c r="AD5" s="47" t="str">
        <x:v>Answer: passed / Consumer Decision: answered / QA Grade: full / Publication: published / Publication Reason: complete_grounded_answer / Coverage: complete_grounded_answer / RAG Coverage: complete / Answerable: True / Evidence: high_confidence</x:v>
      </x:c>
    </x:row>
    <x:row r="6" ht="42" customHeight="1">
      <x:c r="A6" s="45" t="str">
        <x:v>EBX-Q-005</x:v>
      </x:c>
      <x:c r="B6" s="46" t="str">
        <x:v>Xã hội / Quản trị (Governance) / Tổ chức và trách nhiệm quản lý an toàn sức khỏe</x:v>
      </x:c>
      <x:c r="C6" s="46" t="str">
        <x:v>An toàn sức khỏe / Tổ chức và trách nhiệm quản lý an toàn sức khỏe</x:v>
      </x:c>
      <x:c r="D6" s="48"/>
      <x:c r="E6" s="49" t="str">
        <x:v>Theo tài liệu đề xuất đang được xem xét, Tập đoàn Daewoong thực hiện ra quyết định về môi trường, an toàn và sức khỏe thông qua Ủy ban Quản trị EHS do Giám đốc điều hành của Daewoong Pharmaceutical làm Chủ tịch, đồng thời thẩm định chiến lược vận hành EHS, các vấn đề và hạng mục cải thiện của từng công ty con trong tập đoàn ít nhất một lần mỗi nửa năm. Dưới Ủy ban Quản trị EHS, một Hội đồng Thư ký EHS bao gồm các nhân sự phụ trách thực tế của các công ty con được vận hành để phản ánh chiến lược của ban điều hành vào thực tế, quản lý các chỉ số và thiết lập các phương án quản lý hiệu quả.</x:v>
      </x:c>
      <x:c r="F6" s="50" t="n">
        <x:f t="shared" si="0"/>
        <x:v>0</x:v>
      </x:c>
      <x:c r="G6" s="50" t="n">
        <x:f t="shared" si="1"/>
        <x:v>1</x:v>
      </x:c>
      <x:c r="H6" s="45" t="n">
        <x:v>0</x:v>
      </x:c>
      <x:c r="I6" s="45" t="n">
        <x:v>205</x:v>
      </x:c>
      <x:c r="J6" s="45" t="n">
        <x:v>0</x:v>
      </x:c>
      <x:c r="K6" s="45" t="n">
        <x:v>2</x:v>
      </x:c>
      <x:c r="L6" s="45" t="n">
        <x:v>0</x:v>
      </x:c>
      <x:c r="M6" s="45" t="n">
        <x:v>102</x:v>
      </x:c>
      <x:c r="N6" s="45" t="n">
        <x:v>0</x:v>
      </x:c>
      <x:c r="O6" s="45" t="n">
        <x:v>0.098</x:v>
      </x:c>
      <x:c r="P6" s="45" t="n">
        <x:v>0</x:v>
      </x:c>
      <x:c r="Q6" s="45" t="n">
        <x:v>0.975</x:v>
      </x:c>
      <x:c r="R6" s="45" t="n">
        <x:v>0</x:v>
      </x:c>
      <x:c r="S6" s="45" t="n">
        <x:v>0.57</x:v>
      </x:c>
      <x:c r="T6" s="45" t="n">
        <x:v>0</x:v>
      </x:c>
      <x:c r="U6" s="45" t="n">
        <x:v>0.5</x:v>
      </x:c>
      <x:c r="V6" s="45" t="n">
        <x:v>0</x:v>
      </x:c>
      <x:c r="W6" s="45" t="n">
        <x:v>0</x:v>
      </x:c>
      <x:c r="X6" s="45" t="n">
        <x:v>0</x:v>
      </x:c>
      <x:c r="Y6" s="45" t="n">
        <x:v>1</x:v>
      </x:c>
      <x:c r="Z6" s="45" t="n">
        <x:v>1</x:v>
      </x:c>
      <x:c r="AA6" s="45" t="n">
        <x:v>0</x:v>
      </x:c>
      <x:c r="AB6" s="50" t="str">
        <x:f t="shared" si="2"/>
        <x:v>Không thể so sánh</x:v>
      </x:c>
      <x:c r="AC6" s="50" t="str">
        <x:f t="shared" si="3"/>
        <x:v>Không thể so sánh</x:v>
      </x:c>
      <x:c r="AD6" s="47" t="str">
        <x:v>Answer: passed / Consumer Decision: answered_partial / QA Grade: cautious / Publication: review_required / Publication Reason: draft_evidence / Coverage: draft_evidence / RAG Coverage: complete / Answerable: True / Evidence: medium_confidence</x:v>
      </x:c>
    </x:row>
    <x:row r="7" ht="42" customHeight="1">
      <x:c r="A7" s="45" t="str">
        <x:v>EBX-Q-006</x:v>
      </x:c>
      <x:c r="B7" s="46" t="str">
        <x:v>Xã hội / Quản trị rủi ro (Risk Management) / Hoạt động nhận diện và phòng ngừa rủi ro an toàn công nghiệp</x:v>
      </x:c>
      <x:c r="C7" s="46" t="str">
        <x:v>An toàn sức khỏe / Hoạt động nhận diện và phòng ngừa rủi ro an toàn công nghiệp</x:v>
      </x:c>
      <x:c r="D7" s="48" t="str">
        <x:v>Daewoong Pharmaceutical đang thúc đẩy quản trị bền vững và phòng ngừa tai nạn nghiêm trọng bằng cách xác định mức độ nghiêm trọng và thiết lập các biện pháp giảm thiểu thông qua đánh giá các yếu tố gây hại và rủi ro trong toàn bộ hoạt động sản xuất. Thông qua đánh giá rủi ro năm 2025, tổng cộng 441 yếu tố rủi ro đã được phát hiện và cải thiện, đồng thời tăng cường kiểm soát rủi ro bằng cách áp dụng hệ thống cấp phép làm việc, yêu cầu phải có giấy phép khi phát sinh các công đoạn nguy hiểm trong quá trình làm việc nội bộ cũng như đối với các công trình thuê ngoài. Sau khi hoàn tất các hoạt động cải thiện đánh giá rủi ro, tiến độ sẽ được báo cáo cho người chịu trách nhiệm quản lý an toàn sức khỏe, và các hoạt động liên quan được chia sẻ với cán bộ nhân viên thông qua thông báo trên bảng tin an toàn vệ sinh lao động và gửi email cá nhân. Để lan tỏa văn hóa an toàn, công ty vận hành Ủy ban An toàn Vệ sinh Lao động hàng quý và cơ chế họp an toàn sức khỏe tại các cơ sở thầu hàng tháng, thông qua đó chia sẻ các trường hợp điển hình về đề xuất ngăn ngừa sự cố suýt soát (near-miss), cải thiện cơ sở vật chất an toàn sức khỏe và đào tạo người quản lý giám sát. Ngoài ra, để nâng cao ý thức an toàn cho tất cả thành viên, công ty thực hiện đào tạo an toàn sức khỏe hàng quý và cung cấp đào tạo an toàn sức khỏe trước khi bố trí công việc cho nhân viên mới tuyển dụng dưới hình thức trực tuyến hoặc tập trung để xây dựng hệ thống phòng ngừa tai nạn. Nhằm đối phó với các tình huống khẩn cấp không lường trước, công ty vận hành hệ thống ứng phó khẩn cấp để phòng ngừa trước và ứng phó nhanh chóng với hỏa hoạn, rò rỉ, tràn dầu, thiên tai và mất điện. Thông qua đào tạo và diễn tập ứng phó khẩn cấp định kỳ, các phương án ứng phó thực tế được tiếp thu và hệ thống được thiết lập, đồng thời tất cả các báo cáo điều tra thương tích, tai nạn và hồ sơ giải quyết đều được lưu trữ và quản lý. Bên cạnh đó, công ty thực hiện các biện pháp bảo vệ an toàn cho người lao động cho đến khi các vấn đề về an toàn và sức khỏe được giải quyết hoàn toàn, đồng thời thiết lập các chính sách và mục tiêu có thể đo lường được để theo dõi liên tục.</x:v>
      </x:c>
      <x:c r="E7" s="49" t="str">
        <x:v>Daewoong Pharmaceutical thực hiện các hoạt động phòng ngừa tai nạn nghiêm trọng bằng cách xác định mức độ nghiêm trọng và thiết lập cũng như thực hiện các biện pháp giảm thiểu thông qua đánh giá các yếu tố gây hại và rủi ro trong toàn bộ hoạt động sản xuất, và đã phát hiện cũng như cải thiện 441 yếu tố thông qua đánh giá rủi ro năm 2025. Đặc biệt, công ty đã áp dụng hệ thống cấp phép làm việc để nhận phép khi phát sinh các công đoạn nguy hiểm trong quá trình làm việc nội bộ cũng như đối với các công trình thuê ngoài, đồng thời xác định các yếu tố gây hại và rủi ro tại hiện trường thông qua các chuyên gia trong lĩnh vực an toàn sức khỏe và hóa chất. Ngoài ra, công ty đã xây dựng hệ thống ứng phó khẩn cấp đối với hỏa hoạn, rò rỉ, thiên tai và mất điện, vận hành sổ tay hướng dẫn theo từng loại tình huống khủng hoảng và thực hiện đào tạo, diễn tập định kỳ. Ngoài ra, công ty đang lan tỏa ý thức an toàn và phòng ngừa tai nạn thông qua đào tạo an toàn sức khỏe hàng quý, vận hành Ủy ban An toàn Vệ sinh Lao động và cơ chế họp an toàn sức khỏe tại các cơ sở thầu, cũng như phổ biến các quy tắc an toàn sức khỏe cho từng nhóm.</x:v>
      </x:c>
      <x:c r="F7" s="50" t="n">
        <x:f t="shared" si="0"/>
        <x:v>1</x:v>
      </x:c>
      <x:c r="G7" s="50" t="n">
        <x:f t="shared" si="1"/>
        <x:v>1</x:v>
      </x:c>
      <x:c r="H7" s="45" t="n">
        <x:v>770</x:v>
      </x:c>
      <x:c r="I7" s="45" t="n">
        <x:v>399</x:v>
      </x:c>
      <x:c r="J7" s="45" t="n">
        <x:v>8</x:v>
      </x:c>
      <x:c r="K7" s="45" t="n">
        <x:v>4</x:v>
      </x:c>
      <x:c r="L7" s="45" t="n">
        <x:v>95.4</x:v>
      </x:c>
      <x:c r="M7" s="45" t="n">
        <x:v>99</x:v>
      </x:c>
      <x:c r="N7" s="45" t="n">
        <x:v>0.13</x:v>
      </x:c>
      <x:c r="O7" s="45" t="n">
        <x:v>0.13</x:v>
      </x:c>
      <x:c r="P7" s="45" t="n">
        <x:v>0.9633</x:v>
      </x:c>
      <x:c r="Q7" s="45" t="n">
        <x:v>0.97</x:v>
      </x:c>
      <x:c r="R7" s="45" t="n">
        <x:v>0.544</x:v>
      </x:c>
      <x:c r="S7" s="45" t="n">
        <x:v>0.562</x:v>
      </x:c>
      <x:c r="T7" s="45" t="n">
        <x:v>0.8</x:v>
      </x:c>
      <x:c r="U7" s="45" t="n">
        <x:v>0.6</x:v>
      </x:c>
      <x:c r="V7" s="45" t="n">
        <x:v>5.19</x:v>
      </x:c>
      <x:c r="W7" s="45" t="n">
        <x:v>2.51</x:v>
      </x:c>
      <x:c r="X7" s="45" t="n">
        <x:v>7</x:v>
      </x:c>
      <x:c r="Y7" s="45" t="n">
        <x:v>7</x:v>
      </x:c>
      <x:c r="Z7" s="45" t="n">
        <x:v>0</x:v>
      </x:c>
      <x:c r="AA7" s="45" t="n">
        <x:v>0</x:v>
      </x:c>
      <x:c r="AB7" s="50" t="str">
        <x:f t="shared" si="2"/>
        <x:v>V3</x:v>
      </x:c>
      <x:c r="AC7" s="50" t="str">
        <x:f t="shared" si="3"/>
        <x:v>V2</x:v>
      </x:c>
      <x:c r="AD7" s="47" t="str">
        <x:v>Answer: passed / Consumer Decision: answered_partial / QA Grade: partial / Publication: review_required / Publication Reason: missing_expected_facets / Coverage: missing_expected_facets / RAG Coverage: complete / Answerable: True / Evidence: high_confidence</x:v>
      </x:c>
    </x:row>
    <x:row r="8" ht="42" customHeight="1">
      <x:c r="A8" s="45" t="str">
        <x:v>EBX-Q-007</x:v>
      </x:c>
      <x:c r="B8" s="46" t="str">
        <x:v>Xã hội / Chỉ số (Metrics) / Tình hình xảy ra tai nạn lao động và chỉ số hiệu quả an toàn</x:v>
      </x:c>
      <x:c r="C8" s="46" t="str">
        <x:v>An toàn sức khỏe / Tình hình xảy ra tai nạn lao động và chỉ số hiệu quả an toàn</x:v>
      </x:c>
      <x:c r="D8" s="48" t="str">
        <x:v>Daewoong Pharmaceutical đang tập trung nguồn lực vào việc tạo ra một môi trường làm việc an toàn, nơi nhân viên có thể yên tâm làm việc bằng cách chủ động phát hiện và loại bỏ các yếu tố rủi ro tiềm ẩn trong nơi làm việc. Để quản lý rủi ro thực tế tại hiện trường, công ty đang thực hiện đánh giá rủi ro một cách hệ thống, và thông qua đó, vào năm 2025, đã tăng cường hệ thống phòng ngừa tai nạn bằng cách phát hiện và cải thiện tổng cộng 441 yếu tố rủi ro. Để nâng cao hiệu quả quản lý an toàn quy trình, Ban Sản xuất của Daewoong Pharmaceutical đã áp dụng và vận hành hệ thống cấp phép làm việc. Hệ thống này quy định rằng không chỉ đối với các công trình thuê ngoài mà cả khi phát sinh các quy trình nguy hiểm trong công việc nội bộ, phải được cấp phép trước khi thực hiện, góp phần ngăn chặn triệt để các tai nạn an toàn có thể xảy ra trong quá trình làm việc rủi ro cao. Thông qua các hoạt động quản lý an toàn sức khỏe tập trung vào phòng ngừa này, tình hình xảy ra tai nạn lao động đang được quản lý chặt chẽ. Tính đến năm 2025, tỷ lệ xảy ra tai nạn lao động ghi nhận là 0,03%, với số người bị tai nạn là 1 người. Con số này giảm so với tỷ lệ 0,07% và số người bị tai nạn là 2 người của năm 2024. Ngoài ra, đối với các bệnh nghề nghiệp từng có 1 trường hợp xảy ra vào năm 2023, xác nhận là không có trường hợp nào xảy ra trong năm 2024 và 2025, duy trì kết quả ổn định về mặt quản lý sức khỏe.</x:v>
      </x:c>
      <x:c r="E8" s="49" t="str">
        <x:v>Tập đoàn Daewoong đang thực hiện đào tạo an toàn sức khỏe hàng quý và đào tạo an toàn sức khỏe trước khi bố trí khi tuyển dụng để nâng cao ý thức an toàn và phòng ngừa tai nạn cho tất cả các thành viên; đồng thời Ban Sản xuất đang thúc đẩy đào tạo đặc thù tùy chỉnh cho các bộ phận xảy ra tai nạn và các bộ phận làm việc rủi ro cao.</x:v>
      </x:c>
      <x:c r="F8" s="50" t="n">
        <x:f t="shared" si="0"/>
        <x:v>1</x:v>
      </x:c>
      <x:c r="G8" s="50" t="n">
        <x:f t="shared" si="1"/>
        <x:v>1</x:v>
      </x:c>
      <x:c r="H8" s="45" t="n">
        <x:v>631</x:v>
      </x:c>
      <x:c r="I8" s="45" t="n">
        <x:v>128</x:v>
      </x:c>
      <x:c r="J8" s="45" t="n">
        <x:v>8</x:v>
      </x:c>
      <x:c r="K8" s="45" t="n">
        <x:v>1</x:v>
      </x:c>
      <x:c r="L8" s="45" t="n">
        <x:v>78</x:v>
      </x:c>
      <x:c r="M8" s="45" t="n">
        <x:v>128</x:v>
      </x:c>
      <x:c r="N8" s="45" t="n">
        <x:v>0.344</x:v>
      </x:c>
      <x:c r="O8" s="45" t="n">
        <x:v>0</x:v>
      </x:c>
      <x:c r="P8" s="45" t="n">
        <x:v>0.9464</x:v>
      </x:c>
      <x:c r="Q8" s="45" t="n">
        <x:v>0.9355</x:v>
      </x:c>
      <x:c r="R8" s="45" t="n">
        <x:v>0.187</x:v>
      </x:c>
      <x:c r="S8" s="45" t="n">
        <x:v>0.456</x:v>
      </x:c>
      <x:c r="T8" s="45" t="n">
        <x:v>0.833</x:v>
      </x:c>
      <x:c r="U8" s="45" t="n">
        <x:v>0.333</x:v>
      </x:c>
      <x:c r="V8" s="45" t="n">
        <x:v>3.17</x:v>
      </x:c>
      <x:c r="W8" s="45" t="n">
        <x:v>7.81</x:v>
      </x:c>
      <x:c r="X8" s="45" t="n">
        <x:v>36</x:v>
      </x:c>
      <x:c r="Y8" s="45" t="n">
        <x:v>0</x:v>
      </x:c>
      <x:c r="Z8" s="45" t="n">
        <x:v>0</x:v>
      </x:c>
      <x:c r="AA8" s="45" t="n">
        <x:v>0</x:v>
      </x:c>
      <x:c r="AB8" s="50" t="str">
        <x:f t="shared" si="2"/>
        <x:v>V3</x:v>
      </x:c>
      <x:c r="AC8" s="50" t="str">
        <x:f t="shared" si="3"/>
        <x:v>V2</x:v>
      </x:c>
      <x:c r="AD8" s="47" t="str">
        <x:v>Answer: passed / Consumer Decision: answered / QA Grade: full / Publication: published / Publication Reason: complete_grounded_answer / Coverage: complete_grounded_answer / RAG Coverage: complete / Answerable: True / Evidence: high_confidence</x:v>
      </x:c>
    </x:row>
    <x:row r="9" ht="42" customHeight="1">
      <x:c r="A9" s="45" t="str">
        <x:v>EBX-Q-008</x:v>
      </x:c>
      <x:c r="B9" s="46" t="str">
        <x:v>Xã hội / Chiến lược (Strategy) / Chính sách và mục tiêu quản trị nhân quyền</x:v>
      </x:c>
      <x:c r="C9" s="46" t="str">
        <x:v>Lao động và Nhân quyền / Chính sách và mục tiêu quản trị nhân quyền</x:v>
      </x:c>
      <x:c r="D9" s="48" t="str">
        <x:v>Daewoong Pharmaceutical đang thúc đẩy quản trị nhân quyền nhằm tôn trọng quyền con người của tất cả các bên liên quan, bao gồm cả cán bộ nhân viên trong toàn bộ hoạt động quản lý kinh doanh và điều hành. Dưới sự chủ trì của Hội đồng quản trị, công ty đã chỉnh sửa và chia sẻ các nguyên tắc quản trị nhân quyền cũng như các điều khoản trong quy chế của Hội đồng quản trị, đồng thời thiết lập chính sách quản trị nhân quyền phản ánh các nguyên tắc nhân quyền trong và ngoài nước để thực hiện bảo vệ quyền con người. Đặc biệt, để có thể chẩn đoán và quản lý trước các rủi ro vi phạm nhân quyền, Hội đồng quản trị đang liên tục bổ sung các chính sách và quy định liên quan, đồng thời vận hành hệ thống quản lý rủi ro bằng cách thực hiện đánh giá tác động nhân quyền đối với các địa điểm kinh doanh của trụ sở chính. Để thực hiện cụ thể quản trị nhân quyền, công ty đã thiết lập 9 nguyên tắc chính sách quản trị nhân quyền Great Place To Work. Các nguyên tắc này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để nâng cao dần quản trị nhân quyền, công ty đã thiết lập và thúc đẩy các mục tiêu trung và dài hạn đến năm 2030. Định hướng là đạt được việc mở rộng quản trị nhân quyền đến năm 2026, nội bộ hóa hệ thống đến năm 2028 và nâng cao quản trị nhân quyền đến năm 2030. Vì mục tiêu này, công ty thực hiện đánh giá tác động nhân quyền và khảo sát mức độ hài lòng của nhân viên hàng năm, đồng thời đặt mục tiêu mở rộng phạm vi đánh giá tác động nhân quyền đến tất cả các địa điểm kinh doanh và các đối tác cung ứng cốt lõi, hướng tới tỷ lệ tuân thủ cuối cùng đạt 80%. Bên cạnh đó, công ty đang lan tỏa văn hóa tôn trọng nhân quyền bằng cách duy trì tỷ lệ tự nguyện hoàn thành đào tạo về đa dạng nhân viên trên 50%.</x:v>
      </x:c>
      <x:c r="E9" s="49" t="str">
        <x:v>Daewoong Pharmaceutical thực hiện tôn trọng quyền con người của tất cả các bên liên quan, bao gồm cả cán bộ nhân viên, thông qua việc thiết lập chính sách quản trị nhân quyền phản ánh các nguyên tắc nhân quyền trong và ngoài nước.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thiết lập mục tiêu trung và dài hạn đến năm 2030 là mở rộng, nội bộ hóa và nâng cao quản trị nhân quyền, đồng thời thúc đẩy các kế hoạch chi tiết như thực hiện đánh giá tác động nhân quyền hàng năm và mở rộng phạm vi đánh giá đến các đối tác cung ứng cốt lõi.</x:v>
      </x:c>
      <x:c r="F9" s="50" t="n">
        <x:f t="shared" si="0"/>
        <x:v>1</x:v>
      </x:c>
      <x:c r="G9" s="50" t="n">
        <x:f t="shared" si="1"/>
        <x:v>1</x:v>
      </x:c>
      <x:c r="H9" s="45" t="n">
        <x:v>728</x:v>
      </x:c>
      <x:c r="I9" s="45" t="n">
        <x:v>290</x:v>
      </x:c>
      <x:c r="J9" s="45" t="n">
        <x:v>9</x:v>
      </x:c>
      <x:c r="K9" s="45" t="n">
        <x:v>3</x:v>
      </x:c>
      <x:c r="L9" s="45" t="n">
        <x:v>80</x:v>
      </x:c>
      <x:c r="M9" s="45" t="n">
        <x:v>96</x:v>
      </x:c>
      <x:c r="N9" s="45" t="n">
        <x:v>0.265</x:v>
      </x:c>
      <x:c r="O9" s="45" t="n">
        <x:v>0.187</x:v>
      </x:c>
      <x:c r="P9" s="45" t="n">
        <x:v>0.9368</x:v>
      </x:c>
      <x:c r="Q9" s="45" t="n">
        <x:v>0.943</x:v>
      </x:c>
      <x:c r="R9" s="45" t="n">
        <x:v>0.512</x:v>
      </x:c>
      <x:c r="S9" s="45" t="n">
        <x:v>0.564</x:v>
      </x:c>
      <x:c r="T9" s="45" t="n">
        <x:v>1</x:v>
      </x:c>
      <x:c r="U9" s="45" t="n">
        <x:v>1</x:v>
      </x:c>
      <x:c r="V9" s="45" t="n">
        <x:v>8.24</x:v>
      </x:c>
      <x:c r="W9" s="45" t="n">
        <x:v>6.9</x:v>
      </x:c>
      <x:c r="X9" s="45" t="n">
        <x:v>21</x:v>
      </x:c>
      <x:c r="Y9" s="45" t="n">
        <x:v>5</x:v>
      </x:c>
      <x:c r="Z9" s="45" t="n">
        <x:v>0</x:v>
      </x:c>
      <x:c r="AA9" s="45" t="n">
        <x:v>0</x:v>
      </x:c>
      <x:c r="AB9" s="50" t="str">
        <x:f t="shared" si="2"/>
        <x:v>V3</x:v>
      </x:c>
      <x:c r="AC9" s="50" t="str">
        <x:f t="shared" si="3"/>
        <x:v>Hòa</x:v>
      </x:c>
      <x:c r="AD9" s="47" t="str">
        <x:v>Answer: passed / Consumer Decision: answered / QA Grade: full / Publication: published / Publication Reason: complete_grounded_answer / Coverage: complete_grounded_answer / RAG Coverage: complete / Answerable: True / Evidence: high_confidence</x:v>
      </x:c>
    </x:row>
    <x:row r="10" ht="42" customHeight="1">
      <x:c r="A10" s="45" t="str">
        <x:v>EBX-Q-009</x:v>
      </x:c>
      <x:c r="B10" s="46" t="str">
        <x:v>Xã hội / Quản trị (Governance) / Hệ thống quản lý lao động và nhân quyền</x:v>
      </x:c>
      <x:c r="C10" s="46" t="str">
        <x:v>Lao động và Nhân quyền / Hệ thống quản lý Lao động và Nhân quyền</x:v>
      </x:c>
      <x:c r="D10" s="48" t="str">
        <x:v>Hội đồng quản trị đang củng cố nền tảng quản trị để bảo vệ nhân quyền bằng cách chỉnh sửa và chia sẻ các nguyên tắc quản trị nhân quyền và các điều khoản trong quy chế của Hội đồng quản trị, đồng thời thiết lập và vận hành chính sách quản trị nhân quyền phản ánh đầy đủ các nguyên tắc nhân quyền trong và ngoài nước. Daewoong Pharmaceutical đang thực hiện một cách hệ thống chính sách quản trị nhân quyền nhằm tạo dựng văn hóa tôn trọng nhân quyền của tất cả các bên liên quan, bao gồm cả cán bộ nhân viên. Đặc biệt, công ty đã thiết lập hệ thống vận hành cho phép chẩn đoán và quản lý chủ động các rủi ro nhân quyền tiềm ẩn thông qua việc thực hiện đánh giá tác động nhân quyền đối với các địa điểm kinh doanh của trụ sở chính. Để thực hiện thực chất quản trị nhân quyền và bảo vệ quyền lợi, công ty vận hành tổ chức 'Shinmungo' chuyên xử lý các khiếu nại nội bộ liên quan đến nhân quyền, chẳng hạn như quấy rối tại nơi làm việc. Kênh này được tiếp nhận và quản lý thông qua người phụ trách của Nhóm Nhân sự Shared 2, giúp nhanh chóng xác định và ứng phó với các yếu tố vi phạm nhân quyền mà nhân viên gặp phải. Bên cạnh đó, công ty vận hành công đoàn, Hội đồng Hanmaeum và nhiều kênh xử lý khiếu nại đa dạng của nhân viên để tích cực lắng nghe ý kiến của các thành viên. Mọi ý kiến và yêu cầu tiếp nhận đều được xử lý nghiêm ngặt theo quy định và chính sách nội bộ nhằm xây dựng quan hệ lao động đáng tin cậy. Ngoài ra, công ty có cam kết công khai về việc cấm lao động cưỡng bức và buôn bán người, cùng với các chính sách và quy trình cụ thể để hỗ trợ cam kết này. Trong trường hợp có đối tượng bị ảnh hưởng tiêu cực đến nhân quyền do hoạt động của công ty, công ty thực hiện quản trị có trách nhiệm bằng cách cung cấp các quy trình cứu trợ để giải quyết vấn đề. Thành quả của các hoạt động quản trị nhân quyền này được truyền thông minh bạch thông qua nhiều kênh công khai như trang web chính thức và thông cáo báo chí, đồng thời sự ưu việt của hệ thống bảo vệ nhân quyền cũng được công nhận rộng rãi thông qua việc nhận các chứng nhận quản trị nhân quyền ESG toàn cầu.</x:v>
      </x:c>
      <x:c r="E10" s="49" t="str">
        <x:v>Daewoong Pharmaceutical thiết lập và vận hành chính sách quản trị nhân quyền để tôn trọng nhân quyền của cán bộ nhân viên và các bên liên quan. Công ty đang xây dựng hệ thống chẩn đoán và quản lý rủi ro nhân quyền thông qua việc thực hiện đánh giá tác động nhân quyền tại các địa điểm kinh doanh của trụ sở chính, đồng thời Hội đồng quản trị liên tục bổ sung các chính sách và quy định liên quan.</x:v>
      </x:c>
      <x:c r="F10" s="50" t="n">
        <x:f t="shared" si="0"/>
        <x:v>1</x:v>
      </x:c>
      <x:c r="G10" s="50" t="n">
        <x:f t="shared" si="1"/>
        <x:v>1</x:v>
      </x:c>
      <x:c r="H10" s="45" t="n">
        <x:v>832</x:v>
      </x:c>
      <x:c r="I10" s="45" t="n">
        <x:v>149</x:v>
      </x:c>
      <x:c r="J10" s="45" t="n">
        <x:v>7</x:v>
      </x:c>
      <x:c r="K10" s="45" t="n">
        <x:v>2</x:v>
      </x:c>
      <x:c r="L10" s="45" t="n">
        <x:v>118</x:v>
      </x:c>
      <x:c r="M10" s="45" t="n">
        <x:v>74</x:v>
      </x:c>
      <x:c r="N10" s="45" t="n">
        <x:v>0.221</x:v>
      </x:c>
      <x:c r="O10" s="45" t="n">
        <x:v>0.297</x:v>
      </x:c>
      <x:c r="P10" s="45" t="n">
        <x:v>0.9484</x:v>
      </x:c>
      <x:c r="Q10" s="45" t="n">
        <x:v>0.9375</x:v>
      </x:c>
      <x:c r="R10" s="45" t="n">
        <x:v>0.375</x:v>
      </x:c>
      <x:c r="S10" s="45" t="n">
        <x:v>0.706</x:v>
      </x:c>
      <x:c r="T10" s="45" t="n">
        <x:v>1</x:v>
      </x:c>
      <x:c r="U10" s="45" t="n">
        <x:v>0.75</x:v>
      </x:c>
      <x:c r="V10" s="45" t="n">
        <x:v>7.21</x:v>
      </x:c>
      <x:c r="W10" s="45" t="n">
        <x:v>13.42</x:v>
      </x:c>
      <x:c r="X10" s="45" t="n">
        <x:v>1</x:v>
      </x:c>
      <x:c r="Y10" s="45" t="n">
        <x:v>0</x:v>
      </x:c>
      <x:c r="Z10" s="45" t="n">
        <x:v>0</x:v>
      </x:c>
      <x:c r="AA10" s="45" t="n">
        <x:v>0</x:v>
      </x:c>
      <x:c r="AB10" s="50" t="str">
        <x:f t="shared" si="2"/>
        <x:v>V3</x:v>
      </x:c>
      <x:c r="AC10" s="50" t="str">
        <x:f t="shared" si="3"/>
        <x:v>V2</x:v>
      </x:c>
      <x:c r="AD10" s="47" t="str">
        <x:v>Answer: passed / Consumer Decision: answered_partial / QA Grade: partial / Publication: review_required / Publication Reason: missing_expected_facets / Coverage: missing_expected_facets / RAG Coverage: insufficient / Answerable: False / Evidence: insufficient</x:v>
      </x:c>
    </x:row>
    <x:row r="11" ht="42" customHeight="1">
      <x:c r="A11" s="45" t="str">
        <x:v>EBX-Q-010</x:v>
      </x:c>
      <x:c r="B11" s="46" t="str">
        <x:v>Xã hội / Quản trị rủi ro (Risk Management) / Hoạt động nhận diện và ứng phó rủi ro nhân quyền</x:v>
      </x:c>
      <x:c r="C11" s="46" t="str">
        <x:v>Lao động và Nhân quyền / Hoạt động nhận diện và ứng phó rủi ro nhân quyền</x:v>
      </x:c>
      <x:c r="D11" s="48"/>
      <x:c r="E11" s="49"/>
      <x:c r="F11" s="50" t="n">
        <x:f t="shared" si="0"/>
        <x:v>0</x:v>
      </x:c>
      <x:c r="G11" s="50" t="n">
        <x:f t="shared" si="1"/>
        <x:v>0</x:v>
      </x:c>
      <x:c r="H11" s="45" t="n">
        <x:v>0</x:v>
      </x:c>
      <x:c r="I11" s="45" t="n">
        <x:v>0</x:v>
      </x:c>
      <x:c r="J11" s="45" t="n">
        <x:v>0</x:v>
      </x:c>
      <x:c r="K11" s="45" t="n">
        <x:v>0</x:v>
      </x:c>
      <x:c r="L11" s="45" t="n">
        <x:v>0</x:v>
      </x:c>
      <x:c r="M11" s="45" t="n">
        <x:v>0</x:v>
      </x:c>
      <x:c r="N11" s="45" t="n">
        <x:v>0</x:v>
      </x:c>
      <x:c r="O11" s="45" t="n">
        <x:v>0</x:v>
      </x:c>
      <x:c r="P11" s="45" t="n">
        <x:v>0</x:v>
      </x:c>
      <x:c r="Q11" s="45" t="n">
        <x:v>0</x:v>
      </x:c>
      <x:c r="R11" s="45" t="n">
        <x:v>0</x:v>
      </x:c>
      <x:c r="S11" s="45" t="n">
        <x:v>0</x:v>
      </x:c>
      <x:c r="T11" s="45" t="n">
        <x:v>0</x:v>
      </x:c>
      <x:c r="U11" s="45" t="n">
        <x:v>0</x:v>
      </x:c>
      <x:c r="V11" s="45" t="n">
        <x:v>0</x:v>
      </x:c>
      <x:c r="W11" s="45" t="n">
        <x:v>0</x:v>
      </x:c>
      <x:c r="X11" s="45" t="n">
        <x:v>0</x:v>
      </x:c>
      <x:c r="Y11" s="45" t="n">
        <x:v>0</x:v>
      </x:c>
      <x:c r="Z11" s="45" t="n">
        <x:v>0</x:v>
      </x:c>
      <x:c r="AA11" s="45" t="n">
        <x:v>0</x:v>
      </x:c>
      <x:c r="AB11" s="50" t="str">
        <x:f t="shared" si="2"/>
        <x:v>Không thể so sánh</x:v>
      </x:c>
      <x:c r="AC11" s="50" t="str">
        <x:f t="shared" si="3"/>
        <x:v>Không thể so sánh</x:v>
      </x:c>
      <x:c r="AD11" s="47" t="str">
        <x:v>Answer: failed / Consumer Decision: blocked_api_status / QA Grade: failed / Publication: blocked / Publication Reason: qa_not_passed / Coverage: writer_empty / RAG Coverage: insufficient / Answerable: False / Evidence: insufficient</x:v>
      </x:c>
    </x:row>
    <x:row r="12" ht="42" customHeight="1">
      <x:c r="A12" s="45" t="str">
        <x:v>EBX-Q-011</x:v>
      </x:c>
      <x:c r="B12" s="46" t="str">
        <x:v>Xã hội / Chỉ số (Metrics) / Tình hình khiếu nại và xử lý liên quan đến nhân quyền</x:v>
      </x:c>
      <x:c r="C12" s="46" t="str">
        <x:v>Lao động và Nhân quyền / Tình hình khiếu nại và xử lý liên quan đến nhân quyền</x:v>
      </x:c>
      <x:c r="D12" s="48" t="str">
        <x:v>Daewoong Pharmaceutical đang vận hành hệ thống bảo vệ nhân quyền và giải quyết khiếu nại của các bên liên quan nội bộ thông qua việc thúc đẩy giao tiếp hợp tác giữa người lao động và người sử dụng lao động. Tính đến năm 2025, tổng số vụ việc khiếu nại liên quan đến nhân quyền nhận được từ các bên liên quan nội bộ là 63 vụ, và tất cả các vụ việc đã được xử lý hoàn tất, đạt được kết quả quản lý hiệu quả trong việc bảo vệ nhân quyền và giải quyết khiếu nại.</x:v>
      </x:c>
      <x:c r="E12" s="49"/>
      <x:c r="F12" s="50" t="n">
        <x:f t="shared" si="0"/>
        <x:v>1</x:v>
      </x:c>
      <x:c r="G12" s="50" t="n">
        <x:f t="shared" si="1"/>
        <x:v>0</x:v>
      </x:c>
      <x:c r="H12" s="45" t="n">
        <x:v>178</x:v>
      </x:c>
      <x:c r="I12" s="45" t="n">
        <x:v>0</x:v>
      </x:c>
      <x:c r="J12" s="45" t="n">
        <x:v>2</x:v>
      </x:c>
      <x:c r="K12" s="45" t="n">
        <x:v>0</x:v>
      </x:c>
      <x:c r="L12" s="45" t="n">
        <x:v>88.5</x:v>
      </x:c>
      <x:c r="M12" s="45" t="n">
        <x:v>0</x:v>
      </x:c>
      <x:c r="N12" s="45" t="n">
        <x:v>0.254</x:v>
      </x:c>
      <x:c r="O12" s="45" t="n">
        <x:v>0</x:v>
      </x:c>
      <x:c r="P12" s="45" t="n">
        <x:v>0.9</x:v>
      </x:c>
      <x:c r="Q12" s="45" t="n">
        <x:v>0</x:v>
      </x:c>
      <x:c r="R12" s="45" t="n">
        <x:v>0.119</x:v>
      </x:c>
      <x:c r="S12" s="45" t="n">
        <x:v>0</x:v>
      </x:c>
      <x:c r="T12" s="45" t="n">
        <x:v>0.8</x:v>
      </x:c>
      <x:c r="U12" s="45" t="n">
        <x:v>0</x:v>
      </x:c>
      <x:c r="V12" s="45" t="n">
        <x:v>5.62</x:v>
      </x:c>
      <x:c r="W12" s="45" t="n">
        <x:v>0</x:v>
      </x:c>
      <x:c r="X12" s="45" t="n">
        <x:v>6</x:v>
      </x:c>
      <x:c r="Y12" s="45" t="n">
        <x:v>0</x:v>
      </x:c>
      <x:c r="Z12" s="45" t="n">
        <x:v>0</x:v>
      </x:c>
      <x:c r="AA12" s="45" t="n">
        <x:v>0</x:v>
      </x:c>
      <x:c r="AB12" s="50" t="str">
        <x:f t="shared" si="2"/>
        <x:v>Không thể so sánh</x:v>
      </x:c>
      <x:c r="AC12" s="50" t="str">
        <x:f t="shared" si="3"/>
        <x:v>Không thể so sánh</x:v>
      </x:c>
      <x:c r="AD12" s="47" t="str">
        <x:v>Answer: empty / Consumer Decision: blocked_qa / QA Grade: failed / Publication: blocked / Publication Reason: qa_not_passed / Coverage: writer_empty / RAG Coverage: complete / Answerable: True / Evidence: high_confidence</x:v>
      </x:c>
    </x:row>
    <x:row r="13" ht="42" customHeight="1">
      <x:c r="A13" s="45" t="str">
        <x:v>EBX-Q-012</x:v>
      </x:c>
      <x:c r="B13" s="46" t="str">
        <x:v>Xã hội / Chiến lược (Strategy) / Chính sách quản lý chất lượng và an toàn sản phẩm</x:v>
      </x:c>
      <x:c r="C13" s="46" t="str">
        <x:v>An toàn sản phẩm / Chính sách quản lý chất lượng và an toàn sản phẩm</x:v>
      </x:c>
      <x:c r="D13" s="48" t="str">
        <x:v>Daewoong Pharmaceutical đặt giá trị ưu tiên hàng đầu là cung cấp các sản phẩm an toàn và dịch vụ nhất quán cho người tiêu dùng, thông qua việc xây dựng hệ thống quản lý chất lượng bài bản và kiểm tra định kỳ. Đặc biệt, để hiện thực hóa việc bảo vệ quyền lợi người tiêu dùng, công ty thiết lập các chính sách và mục tiêu cụ thể, có thể đo lường và đạt được, đồng thời vận hành hệ thống giám sát liên tục dựa trên đó để nâng cao hiệu quả quản trị chất lượng. Nhằm đảm bảo an toàn và chất lượng sản phẩm, công ty định kỳ đánh giá các rủi ro thực tế hoặc tiềm ẩn có thể ảnh hưởng đến việc bảo vệ quyền lợi người tiêu dùng, và liên tục cải thiện quy trình quản lý chất lượng dựa trên kết quả đánh giá này. Ngoài ra, bằng cách cung cấp các hoạt động nâng cao nhận thức và đào tạo chuyên môn về bảo vệ quyền lợi người tiêu dùng cho toàn thể cán bộ nhân viên, công ty đang tạo dựng văn hóa chất lượng trong toàn doanh nghiệp, giúp mọi thành viên nhận thức sâu sắc về tầm quan trọng của an toàn sản phẩm và áp dụng vào thực tiễn công việc. Thêm vào đó, công ty tập trung vào việc đảm bảo an toàn cho người tiêu dùng là ưu tiên hàng đầu và giảm thiểu rủi ro tiềm ẩn bằng cách xây dựng và vận hành hệ thống chuyên dụng để ứng phó nhanh chóng và chính xác khi có sự cố an toàn người tiêu dùng xảy ra. Thông qua chính sách quản lý chất lượng và hệ thống thực thi tích hợp này, công ty áp dụng các tiêu chuẩn nghiêm ngặt từ giai đoạn thiết kế sản phẩm đến giai đoạn quản lý sau bán hàng, tạo ra giá trị chăm sóc sức khỏe bền vững dựa trên niềm tin của người tiêu dùng.</x:v>
      </x:c>
      <x:c r="E13" s="49" t="str">
        <x:v>Daewoong Pharmaceutical xây dựng và kiểm tra định kỳ hệ thống quản lý chất lượng để cung cấp các sản phẩm an toàn và dịch vụ nhất quán cho người tiêu dùng. Ngoài ra, để bảo vệ quyền lợi người tiêu dùng, công ty thiết lập và giám sát các chính sách cũng như mục tiêu cụ thể, có thể đo lường và đạt được, đồng thời cung cấp các hoạt động đào tạo và nâng cao nhận thức cho nhân viên, cũng như định kỳ đánh giá các tác động thực tế hoặc tiềm ẩn đối với việc bảo vệ quyền lợi người tiêu dùng.</x:v>
      </x:c>
      <x:c r="F13" s="50" t="n">
        <x:f t="shared" si="0"/>
        <x:v>1</x:v>
      </x:c>
      <x:c r="G13" s="50" t="n">
        <x:f t="shared" si="1"/>
        <x:v>1</x:v>
      </x:c>
      <x:c r="H13" s="45" t="n">
        <x:v>645</x:v>
      </x:c>
      <x:c r="I13" s="45" t="n">
        <x:v>215</x:v>
      </x:c>
      <x:c r="J13" s="45" t="n">
        <x:v>6</x:v>
      </x:c>
      <x:c r="K13" s="45" t="n">
        <x:v>2</x:v>
      </x:c>
      <x:c r="L13" s="45" t="n">
        <x:v>106.7</x:v>
      </x:c>
      <x:c r="M13" s="45" t="n">
        <x:v>107</x:v>
      </x:c>
      <x:c r="N13" s="45" t="n">
        <x:v>0.097</x:v>
      </x:c>
      <x:c r="O13" s="45" t="n">
        <x:v>0.327</x:v>
      </x:c>
      <x:c r="P13" s="45" t="n">
        <x:v>0.9351</x:v>
      </x:c>
      <x:c r="Q13" s="45" t="n">
        <x:v>0.9375</x:v>
      </x:c>
      <x:c r="R13" s="45" t="n">
        <x:v>0.23</x:v>
      </x:c>
      <x:c r="S13" s="45" t="n">
        <x:v>0.55</x:v>
      </x:c>
      <x:c r="T13" s="45" t="n">
        <x:v>1</x:v>
      </x:c>
      <x:c r="U13" s="45" t="n">
        <x:v>1</x:v>
      </x:c>
      <x:c r="V13" s="45" t="n">
        <x:v>4.65</x:v>
      </x:c>
      <x:c r="W13" s="45" t="n">
        <x:v>0</x:v>
      </x:c>
      <x:c r="X13" s="45" t="n">
        <x:v>0</x:v>
      </x:c>
      <x:c r="Y13" s="45" t="n">
        <x:v>0</x:v>
      </x:c>
      <x:c r="Z13" s="45" t="n">
        <x:v>0</x:v>
      </x:c>
      <x:c r="AA13" s="45" t="n">
        <x:v>0</x:v>
      </x:c>
      <x:c r="AB13" s="50" t="str">
        <x:f t="shared" si="2"/>
        <x:v>V3</x:v>
      </x:c>
      <x:c r="AC13" s="50" t="str">
        <x:f t="shared" si="3"/>
        <x:v>Đồng hạng</x:v>
      </x:c>
      <x:c r="AD13" s="47" t="str">
        <x:v>Answer: passed / Consumer Decision: answered_partial / QA Grade: partial / Publication: review_required / Publication Reason: partial_answer / Coverage: partial_answer / RAG Coverage: insufficient / Answerable: False / Evidence: insufficient</x:v>
      </x:c>
    </x:row>
    <x:row r="14" ht="42" customHeight="1">
      <x:c r="A14" s="45" t="str">
        <x:v>EBX-Q-013</x:v>
      </x:c>
      <x:c r="B14" s="46" t="str">
        <x:v>Xã hội / Quản trị (Governance) / Tổ chức và Trách nhiệm Quản lý Chất lượng</x:v>
      </x:c>
      <x:c r="C14" s="46" t="str">
        <x:v>An toàn sản phẩm / Tổ chức và Trách nhiệm Quản lý Chất lượng</x:v>
      </x:c>
      <x:c r="D14" s="48" t="str">
        <x:v>Các tổ chức Quản lý Chất lượng (QM), Đảm bảo Chất lượng (QA) và Kiểm soát Chất lượng (QC) đã thiết lập hệ thống hợp tác hữu cơ để thực hiện trách nhiệm quản lý toàn diện nhằm sản xuất các sản phẩm an toàn và chất lượng cao. Đặc biệt, đối với các bộ phận liên quan mật thiết đến việc thu thập các trường hợp bất thường như QA, trung tâm cuộc gọi và đội ngũ học thuật, chúng tôi cung cấp các khóa đào tạo Advanced Pharmacovigilance (PV) riêng biệt để nâng cao tính chuyên môn trong quản lý an toàn sản phẩm. Để đảm bảo tính an toàn của sản phẩm, chúng tôi triển khai các hoạt động cảnh giác dược nhằm phát hiện và đánh giá một cách khoa học các trường hợp bất thường và vấn đề an toàn trong suốt toàn bộ vòng đời của tất cả các sản phẩm do Daewoong Pharmaceutical sản xuất. Vì mục tiêu này, chúng tôi liên tục tăng cường hệ thống quản lý thông qua các chế độ như RMP, tái đánh giá, báo cáo, tái thẩm định và khuyến cáo sử dụng, đồng thời tuân thủ nghiêm ngặt các nghĩa vụ báo cáo quy định toàn cầu để đánh giá lợi ích của sản phẩm. Hệ thống thu thập thông tin an toàn được vận hành đa chiều thông qua nhiều kênh khác nhau như báo cáo tự nguyện, tài liệu, nghiên cứu lâm sàng và các trường hợp ở nước ngoài, tập trung vào hệ thống báo cáo trường hợp bất thường trên trang web. Thông tin thu thập được đảm bảo độ tin cậy của dữ liệu thông qua quá trình thử nghiệm an toàn và thẩm định phương pháp phân tích trước và sau khi lưu hành. Ngoài ra, để nâng cao hiệu quả và độ chính xác của quản lý chất lượng, chúng tôi hiện thực hóa môi trường quản lý chất lượng có hệ thống bằng cách áp dụng và vận hành các hệ thống kỹ thuật số tiên tiến như Hệ thống Quản lý Chất lượng (QMS), Hệ thống Quản lý Tài liệu Điện tử (EDMS), Hệ thống Quản lý Thông tin Phòng Thí nghiệm (LIMS) và Hệ thống Điều hành Sản xuất (MES).</x:v>
      </x:c>
      <x:c r="E14" s="49" t="str">
        <x:v>Daewoong Pharmaceutical quản lý tính an toàn và chất lượng cao của sản phẩm thông qua sự hợp tác hữu cơ giữa các bộ phận Quản lý Chất lượng (QM), Đảm bảo Chất lượng (QA) và Kiểm soát Chất lượng (QC). Đội ngũ Quản lý Chất lượng (QM) dẫn dắt việc thiết lập chính sách chất lượng, lập kế hoạch chất lượng và các hoạt động cải tiến cho toàn tập đoàn, đồng thời hỗ trợ tiến ra thị trường toàn cầu bằng cách áp dụng các quy định và hướng dẫn GMP mới nhất. Tổ chức Đảm bảo Chất lượng (QA) và Kiểm soát Chất lượng (QC) thực hiện các công việc như văn bản hóa SOP, thẩm định (validation), quản lý môi trường và quy trình, thử nghiệm và kiểm tra, đồng thời tăng cường năng lực chất lượng bằng cách cung cấp đào tạo GMP và PV cho toàn thể cán bộ nhân viên.</x:v>
      </x:c>
      <x:c r="F14" s="50" t="n">
        <x:f t="shared" si="0"/>
        <x:v>1</x:v>
      </x:c>
      <x:c r="G14" s="50" t="n">
        <x:f t="shared" si="1"/>
        <x:v>1</x:v>
      </x:c>
      <x:c r="H14" s="45" t="n">
        <x:v>713</x:v>
      </x:c>
      <x:c r="I14" s="45" t="n">
        <x:v>279</x:v>
      </x:c>
      <x:c r="J14" s="45" t="n">
        <x:v>7</x:v>
      </x:c>
      <x:c r="K14" s="45" t="n">
        <x:v>3</x:v>
      </x:c>
      <x:c r="L14" s="45" t="n">
        <x:v>101</x:v>
      </x:c>
      <x:c r="M14" s="45" t="n">
        <x:v>92.3</x:v>
      </x:c>
      <x:c r="N14" s="45" t="n">
        <x:v>0.256</x:v>
      </x:c>
      <x:c r="O14" s="45" t="n">
        <x:v>0.184</x:v>
      </x:c>
      <x:c r="P14" s="45" t="n">
        <x:v>0.9405</x:v>
      </x:c>
      <x:c r="Q14" s="45" t="n">
        <x:v>0.9098</x:v>
      </x:c>
      <x:c r="R14" s="45" t="n">
        <x:v>0.423</x:v>
      </x:c>
      <x:c r="S14" s="45" t="n">
        <x:v>0.621</x:v>
      </x:c>
      <x:c r="T14" s="45" t="n">
        <x:v>1</x:v>
      </x:c>
      <x:c r="U14" s="45" t="n">
        <x:v>0.75</x:v>
      </x:c>
      <x:c r="V14" s="45" t="n">
        <x:v>7.01</x:v>
      </x:c>
      <x:c r="W14" s="45" t="n">
        <x:v>3.58</x:v>
      </x:c>
      <x:c r="X14" s="45" t="n">
        <x:v>0</x:v>
      </x:c>
      <x:c r="Y14" s="45" t="n">
        <x:v>0</x:v>
      </x:c>
      <x:c r="Z14" s="45" t="n">
        <x:v>0</x:v>
      </x:c>
      <x:c r="AA14" s="45" t="n">
        <x:v>0</x:v>
      </x:c>
      <x:c r="AB14" s="50" t="str">
        <x:f t="shared" si="2"/>
        <x:v>V3</x:v>
      </x:c>
      <x:c r="AC14" s="50" t="str">
        <x:f t="shared" si="3"/>
        <x:v>V2</x:v>
      </x:c>
      <x:c r="AD14" s="47" t="str">
        <x:v>Answer: passed / Consumer Decision: answered_partial / QA Grade: partial / Publication: review_required / Publication Reason: missing_expected_facets / Coverage: missing_expected_facets / RAG Coverage: insufficient / Answerable: False / Evidence: insufficient</x:v>
      </x:c>
    </x:row>
    <x:row r="15" ht="42" customHeight="1">
      <x:c r="A15" s="45" t="str">
        <x:v>EBX-Q-014</x:v>
      </x:c>
      <x:c r="B15" s="46" t="str">
        <x:v>Xã hội / Quản lý Rủi ro (Risk Management) / Quản lý Rủi ro An toàn và Chất lượng Sản phẩm</x:v>
      </x:c>
      <x:c r="C15" s="46" t="str">
        <x:v>An toàn sản phẩm / Quản lý rủi ro an toàn và chất lượng sản phẩm</x:v>
      </x:c>
      <x:c r="D15" s="48" t="str">
        <x:v>Daewoong Pharmaceutical đã xây dựng và vận hành hệ thống quản lý rủi ro vận hành bài bản nhằm quản lý hiệu quả các rủi ro tiềm ẩn có thể phát sinh trong toàn bộ hoạt động kinh doanh và duy trì hoạt động kinh doanh ổn định. Đặc biệt, để kiểm soát chủ động các rủi ro liên quan đến chất lượng sản phẩm và dịch vụ, công ty đã áp dụng hệ thống quản lý chất lượng và vận hành quy trình thông minh, từ đó đảm bảo tính an toàn trong toàn bộ quản lý chất lượng và quy trình, đồng thời quản lý rủi ro một cách chính xác. Để nâng cao hiệu quả quản lý rủi ro, các bộ phận chính liên tục theo dõi những thay đổi trong quy định pháp luật liên quan, từ đó tăng cường năng lực ứng phó rủi ro thông qua các hoạt động cải thiện và bổ sung toàn bộ chính sách kiểm soát nội bộ. Ngoài ra, lấy việc bảo vệ quyền lợi người tiêu dùng làm giá trị ưu tiên hàng đầu, công ty đã thiết lập các chính sách và mục tiêu cụ thể, có thể đo lường và đạt được, đồng thời vận hành hệ thống theo dõi thường xuyên. Trong trường hợp xảy ra sự cố an toàn cho người tiêu dùng, công ty tập trung vào việc đảm bảo an toàn cho khách hàng và giảm thiểu thiệt hại bằng cách vận hành hệ thống chuyên dụng có khả năng ứng phó nhanh chóng và chính xác. Đồng thời, tính bền vững và thân thiện với môi trường được xem xét và phản ánh một cách tích hợp trong suốt vòng đời sản phẩm từ thiết kế đến tiêu hủy, hiện thực hóa đồng thời an toàn sản phẩm và quản trị trách nhiệm môi trường thông qua việc đo lường và quản lý định kỳ các yếu tố này.</x:v>
      </x:c>
      <x:c r="E15" s="49" t="str">
        <x:v>Daewoong Pharmaceutical quản lý các rủi ro liên quan đến chất lượng sản phẩm và dịch vụ thông qua hệ thống quản lý chất lượng và vận hành quy trình thông minh. Ngoài ra, các bộ phận chính liên tục cải thiện và bổ sung toàn bộ chính sách kiểm soát nội bộ theo những thay đổi của quy định pháp luật liên quan, từ đó quản lý hiệu quả rủi ro trong toàn bộ hoạt động kinh doanh và xây dựng, vận hành hệ thống để duy trì kinh doanh ổn định.</x:v>
      </x:c>
      <x:c r="F15" s="50" t="n">
        <x:f t="shared" si="0"/>
        <x:v>1</x:v>
      </x:c>
      <x:c r="G15" s="50" t="n">
        <x:f t="shared" si="1"/>
        <x:v>1</x:v>
      </x:c>
      <x:c r="H15" s="45" t="n">
        <x:v>636</x:v>
      </x:c>
      <x:c r="I15" s="45" t="n">
        <x:v>178</x:v>
      </x:c>
      <x:c r="J15" s="45" t="n">
        <x:v>6</x:v>
      </x:c>
      <x:c r="K15" s="45" t="n">
        <x:v>2</x:v>
      </x:c>
      <x:c r="L15" s="45" t="n">
        <x:v>105.2</x:v>
      </x:c>
      <x:c r="M15" s="45" t="n">
        <x:v>88.5</x:v>
      </x:c>
      <x:c r="N15" s="45" t="n">
        <x:v>0.142</x:v>
      </x:c>
      <x:c r="O15" s="45" t="n">
        <x:v>0.322</x:v>
      </x:c>
      <x:c r="P15" s="45" t="n">
        <x:v>0.9407</x:v>
      </x:c>
      <x:c r="Q15" s="45" t="n">
        <x:v>0.8667</x:v>
      </x:c>
      <x:c r="R15" s="45" t="n">
        <x:v>0.31</x:v>
      </x:c>
      <x:c r="S15" s="45" t="n">
        <x:v>0.69</x:v>
      </x:c>
      <x:c r="T15" s="45" t="n">
        <x:v>1</x:v>
      </x:c>
      <x:c r="U15" s="45" t="n">
        <x:v>0.8</x:v>
      </x:c>
      <x:c r="V15" s="45" t="n">
        <x:v>4.72</x:v>
      </x:c>
      <x:c r="W15" s="45" t="n">
        <x:v>11.24</x:v>
      </x:c>
      <x:c r="X15" s="45" t="n">
        <x:v>0</x:v>
      </x:c>
      <x:c r="Y15" s="45" t="n">
        <x:v>0</x:v>
      </x:c>
      <x:c r="Z15" s="45" t="n">
        <x:v>0</x:v>
      </x:c>
      <x:c r="AA15" s="45" t="n">
        <x:v>0</x:v>
      </x:c>
      <x:c r="AB15" s="50" t="str">
        <x:f t="shared" si="2"/>
        <x:v>V3</x:v>
      </x:c>
      <x:c r="AC15" s="50" t="str">
        <x:f t="shared" si="3"/>
        <x:v>V2</x:v>
      </x:c>
      <x:c r="AD15" s="47" t="str">
        <x:v>Answer: passed / Consumer Decision: answered_partial / QA Grade: partial / Publication: review_required / Publication Reason: missing_expected_facets / Coverage: missing_expected_facets / RAG Coverage: complete / Answerable: True / Evidence: high_confidence</x:v>
      </x:c>
    </x:row>
    <x:row r="16" ht="42" customHeight="1">
      <x:c r="A16" s="45" t="str">
        <x:v>EBX-Q-015</x:v>
      </x:c>
      <x:c r="B16" s="46" t="str">
        <x:v>Xã hội / Chỉ số (Metrics) / Hiện trạng sự cố liên quan đến an toàn và chất lượng sản phẩm</x:v>
      </x:c>
      <x:c r="C16" s="46" t="str">
        <x:v>An toàn sản phẩm / Hiện trạng sự cố liên quan đến an toàn và chất lượng sản phẩm</x:v>
      </x:c>
      <x:c r="D16" s="48"/>
      <x:c r="E16" s="49"/>
      <x:c r="F16" s="50" t="n">
        <x:f t="shared" si="0"/>
        <x:v>0</x:v>
      </x:c>
      <x:c r="G16" s="50" t="n">
        <x:f t="shared" si="1"/>
        <x:v>0</x:v>
      </x:c>
      <x:c r="H16" s="45" t="n">
        <x:v>0</x:v>
      </x:c>
      <x:c r="I16" s="45" t="n">
        <x:v>0</x:v>
      </x:c>
      <x:c r="J16" s="45" t="n">
        <x:v>0</x:v>
      </x:c>
      <x:c r="K16" s="45" t="n">
        <x:v>0</x:v>
      </x:c>
      <x:c r="L16" s="45" t="n">
        <x:v>0</x:v>
      </x:c>
      <x:c r="M16" s="45" t="n">
        <x:v>0</x:v>
      </x:c>
      <x:c r="N16" s="45" t="n">
        <x:v>0</x:v>
      </x:c>
      <x:c r="O16" s="45" t="n">
        <x:v>0</x:v>
      </x:c>
      <x:c r="P16" s="45" t="n">
        <x:v>0</x:v>
      </x:c>
      <x:c r="Q16" s="45" t="n">
        <x:v>0</x:v>
      </x:c>
      <x:c r="R16" s="45" t="n">
        <x:v>0</x:v>
      </x:c>
      <x:c r="S16" s="45" t="n">
        <x:v>0</x:v>
      </x:c>
      <x:c r="T16" s="45" t="n">
        <x:v>0</x:v>
      </x:c>
      <x:c r="U16" s="45" t="n">
        <x:v>0</x:v>
      </x:c>
      <x:c r="V16" s="45" t="n">
        <x:v>0</x:v>
      </x:c>
      <x:c r="W16" s="45" t="n">
        <x:v>0</x:v>
      </x:c>
      <x:c r="X16" s="45" t="n">
        <x:v>0</x:v>
      </x:c>
      <x:c r="Y16" s="45" t="n">
        <x:v>0</x:v>
      </x:c>
      <x:c r="Z16" s="45" t="n">
        <x:v>0</x:v>
      </x:c>
      <x:c r="AA16" s="45" t="n">
        <x:v>0</x:v>
      </x:c>
      <x:c r="AB16" s="50" t="str">
        <x:f t="shared" si="2"/>
        <x:v>Không thể so sánh</x:v>
      </x:c>
      <x:c r="AC16" s="50" t="str">
        <x:f t="shared" si="3"/>
        <x:v>Không thể so sánh</x:v>
      </x:c>
      <x:c r="AD16" s="47" t="str">
        <x:v>Answer: failed / Consumer Decision: blocked_qa / QA Grade: failed / Publication: blocked / Publication Reason: qa_not_passed / Coverage: writer_empty / RAG Coverage: complete / Answerable: True / Evidence: high_confidence</x:v>
      </x:c>
    </x:row>
    <x:row r="17" ht="42" customHeight="1">
      <x:c r="A17" s="45" t="str">
        <x:v>EBX-Q-016</x:v>
      </x:c>
      <x:c r="B17" s="46" t="str">
        <x:v>Xã hội / Chiến lược (Strategy) / Chính sách bảo mật thông tin và bảo vệ quyền riêng tư</x:v>
      </x:c>
      <x:c r="C17" s="46" t="str">
        <x:v>Bảo mật thông tin / Chính sách bảo mật thông tin và bảo vệ quyền riêng tư</x:v>
      </x:c>
      <x:c r="D17" s="48" t="str">
        <x:v>Với việc tầm quan trọng của bảo mật và bảo vệ thông tin ngày càng tăng do sự tăng tốc của chuyển đổi số, Daewoong Pharmaceutical đang liên tục tăng cường hệ thống bảo mật mạnh mẽ đạt tiêu chuẩn toàn cầu. Để đạt được điều này, công ty đã ban hành các chính sách bảo mật thông tin và thực hiện sửa đổi ít nhất một lần mỗi năm nhằm ứng phó linh hoạt với các mối đe dọa bảo mật mới nhất và nâng cao năng lực bảo mật trong toàn doanh nghiệp. Đặc biệt, thông qua tư vấn pháp lý, công ty đã tái cơ cấu hệ thống chính sách bảo mật thông tin một cách bài bản bao gồm 1 chính sách, 3 quy định và 12 hướng dẫn, từ đó thiết lập rõ ràng các tiêu chuẩn và nguyên tắc quản lý để bảo vệ dữ liệu. Các chính sách bảo mật thông tin này không chỉ được chia sẻ với nhân viên nội bộ mà còn với tất cả các bên liên quan đến công việc như các công ty liên kết và đối tác, tập trung vào việc nâng cao mức độ bảo mật chung trong toàn bộ chuỗi cung ứng bằng cách khuyến nghị tuân thủ chính sách. Ngoài ra, không chỉ dừng lại ở việc xây dựng hệ thống phòng thủ kỹ thuật, công ty còn triển khai nhiều hoạt động đa dạng như chiến dịch bảo mật, thông báo và đào tạo định kỳ để nâng cao nhận thức bảo mật của nhân viên, nhằm giảm thiểu rủi ro bảo mật do con người. Đồng thời, bằng cách vận hành thường xuyên hệ thống giám sát để phát hiện theo thời gian thực các hành vi bất thường bao gồm rò rỉ thông tin nội bộ, công ty đang củng cố hệ thống quản lý bảo mật tích hợp, nơi các tiêu chuẩn chính sách và kiểm soát kỹ thuật hài hòa với nhau. Thông qua chiến lược bảo mật đa tầng này, Daewoong Pharmaceutical bảo vệ an toàn các tài sản cốt lõi của doanh nghiệp và thông tin cá nhân, tạo ra một môi trường kỹ thuật số đáng tin cậy.</x:v>
      </x:c>
      <x:c r="E17" s="49" t="str">
        <x:v>Daewoong Pharmaceutical đã tái cơ cấu hệ thống chính sách bảo mật thông tin bao gồm 1 chính sách, 3 quy định và 12 hướng dẫn thông qua tư vấn pháp lý, đồng thời tăng cường năng lực bảo mật thông qua việc sửa đổi ít nhất một lần mỗi năm. Công ty chia sẻ chính sách này và khuyến nghị tuân thủ đối với tất cả các bên liên quan như nhân viên, công ty liên kết và đối tác, đồng thời thực hiện đào tạo và kiểm tra bảo mật cho các đối tác nước ngoài để ngăn ngừa rò rỉ thông tin. Ngoài ra, công ty duy trì các chứng nhận tiêu chuẩn quốc tế ISO 27001 (Hệ thống quản lý an toàn thông tin) và ISO 27701 (Hệ thống quản lý thông tin quyền riêng tư) để bảo vệ tài sản thông tin và thông tin cá nhân của khách hàng, đồng thời ứng phó chủ động với rò rỉ thông tin nội bộ và các hành vi bất thường thông qua hệ thống giám sát chuyên dụng.</x:v>
      </x:c>
      <x:c r="F17" s="50" t="n">
        <x:f t="shared" si="0"/>
        <x:v>1</x:v>
      </x:c>
      <x:c r="G17" s="50" t="n">
        <x:f t="shared" si="1"/>
        <x:v>1</x:v>
      </x:c>
      <x:c r="H17" s="45" t="n">
        <x:v>672</x:v>
      </x:c>
      <x:c r="I17" s="45" t="n">
        <x:v>341</x:v>
      </x:c>
      <x:c r="J17" s="45" t="n">
        <x:v>7</x:v>
      </x:c>
      <x:c r="K17" s="45" t="n">
        <x:v>3</x:v>
      </x:c>
      <x:c r="L17" s="45" t="n">
        <x:v>95.1</x:v>
      </x:c>
      <x:c r="M17" s="45" t="n">
        <x:v>113</x:v>
      </x:c>
      <x:c r="N17" s="45" t="n">
        <x:v>0.155</x:v>
      </x:c>
      <x:c r="O17" s="45" t="n">
        <x:v>0.194</x:v>
      </x:c>
      <x:c r="P17" s="45" t="n">
        <x:v>0.9331</x:v>
      </x:c>
      <x:c r="Q17" s="45" t="n">
        <x:v>0.9125</x:v>
      </x:c>
      <x:c r="R17" s="45" t="n">
        <x:v>0.388</x:v>
      </x:c>
      <x:c r="S17" s="45" t="n">
        <x:v>0.698</x:v>
      </x:c>
      <x:c r="T17" s="45" t="n">
        <x:v>1</x:v>
      </x:c>
      <x:c r="U17" s="45" t="n">
        <x:v>1</x:v>
      </x:c>
      <x:c r="V17" s="45" t="n">
        <x:v>4.46</x:v>
      </x:c>
      <x:c r="W17" s="45" t="n">
        <x:v>2.93</x:v>
      </x:c>
      <x:c r="X17" s="45" t="n">
        <x:v>5</x:v>
      </x:c>
      <x:c r="Y17" s="45" t="n">
        <x:v>15</x:v>
      </x:c>
      <x:c r="Z17" s="45" t="n">
        <x:v>0</x:v>
      </x:c>
      <x:c r="AA17" s="45" t="n">
        <x:v>0</x:v>
      </x:c>
      <x:c r="AB17" s="50" t="str">
        <x:f t="shared" si="2"/>
        <x:v>V3</x:v>
      </x:c>
      <x:c r="AC17" s="50" t="str">
        <x:f t="shared" si="3"/>
        <x:v>Đồng hạng</x:v>
      </x:c>
      <x:c r="AD17" s="47" t="str">
        <x:v>Answer: passed / Consumer Decision: answered / QA Grade: full / Publication: published / Publication Reason: complete_grounded_answer / Coverage: complete_grounded_answer / RAG Coverage: complete / Answerable: True / Evidence: high_confidence</x:v>
      </x:c>
    </x:row>
    <x:row r="18" ht="42" customHeight="1">
      <x:c r="A18" s="45" t="str">
        <x:v>EBX-Q-017</x:v>
      </x:c>
      <x:c r="B18" s="46" t="str">
        <x:v>Xã hội / Quản trị (Governance) / Tổ chức quản lý bảo mật thông tin</x:v>
      </x:c>
      <x:c r="C18" s="46" t="str">
        <x:v>Bảo mật thông tin / Tổ chức quản lý bảo mật thông tin</x:v>
      </x:c>
      <x:c r="D18" s="48" t="str">
        <x:v>Đội Bảo mật Thông tin thuộc Ban Quản trị Tuân thủ chịu trách nhiệm vận hành chuyên trách các nghiệp vụ bảo mật thông tin của Daewoong Pharmaceutical. Để tăng cường bảo mật thông tin trên toàn công ty, chúng tôi đang phân tích toàn diện các hệ thống bảo vệ thông tin cá nhân và thông tin mật của công ty trên tất cả các lĩnh vực kiểm soát về tổ chức, con người, vật lý và kỹ thuật, từ đó thiết lập và thực hiện lộ trình cải thiện có hệ thống. Các quy định về an ninh và bảo mật thông tin được sửa đổi ít nhất một lần mỗi năm để phản ánh các hướng dẫn của cơ quan giám sát, quản lý và môi trường làm việc thay đổi, đồng thời có hệ thống công khai sau khi thông qua sự xem xét của Ủy ban Bảo mật Thông tin và sự phê duyệt của Giám đốc điều hành. Đặc biệt, do sở hữu 'Công nghệ sản xuất chế phẩm Botulinum Toxin' là công nghệ cốt lõi quốc gia do Bộ Thương mại, Công nghiệp và Năng lượng chỉ định, chúng tôi đã ban hành 'Hướng dẫn quản lý bảo vệ công nghệ cốt lõi quốc gia' và vận hành hệ thống quản lý an ninh công nghiệp chuyên nghiệp. Ngoài ra, bằng cách cung cấp dịch vụ chia sẻ (shared services) cho các công ty liên kết của Daewoong, chúng tôi hỗ trợ thiết lập chiến lược bảo mật của tập đoàn và thực hiện quản lý, giúp toàn tập đoàn duy trì hệ thống quản lý an ninh thông tin cùng cấp độ với Daewoong Pharmaceutical. Hệ thống quản lý này đã được mở rộng thông qua việc thiết lập tiêu chuẩn hệ thống quản lý bảo mật cho 'Cellatox', cơ sở sản xuất tại nước ngoài, dẫn đến kết quả bảo vệ công nghệ cốt lõi quốc gia của pháp nhân nước ngoài.</x:v>
      </x:c>
      <x:c r="E18" s="49" t="str">
        <x:v>Nghiệp vụ bảo mật thông tin của Daewoong Pharmaceutical do Đội Bảo mật Thông tin thuộc Ban Quản trị Tuân thủ đảm nhiệm, thực hiện phân tích các hệ thống bảo vệ thông tin cá nhân và thông tin mật trên các lĩnh vực kiểm soát tổ chức, con người, vật lý, kỹ thuật, đồng thời thiết lập và thực hiện lộ trình cải thiện. Ngoài ra, các quy định về an ninh và bảo mật thông tin được sửa đổi ít nhất một lần mỗi năm và vận hành hệ thống quản lý công khai sau khi được Ủy ban Bảo mật Thông tin xem xét và Giám đốc điều hành phê duyệt. Đồng thời, công ty cung cấp dịch vụ chia sẻ cho các công ty liên kết của Daewoong để hỗ trợ thiết lập chiến lược bảo mật tập đoàn và hỗ trợ vận hành hệ thống quản lý an ninh thông tin ở cùng một cấp độ.</x:v>
      </x:c>
      <x:c r="F18" s="50" t="n">
        <x:f t="shared" si="0"/>
        <x:v>1</x:v>
      </x:c>
      <x:c r="G18" s="50" t="n">
        <x:f t="shared" si="1"/>
        <x:v>1</x:v>
      </x:c>
      <x:c r="H18" s="45" t="n">
        <x:v>565</x:v>
      </x:c>
      <x:c r="I18" s="45" t="n">
        <x:v>286</x:v>
      </x:c>
      <x:c r="J18" s="45" t="n">
        <x:v>6</x:v>
      </x:c>
      <x:c r="K18" s="45" t="n">
        <x:v>3</x:v>
      </x:c>
      <x:c r="L18" s="45" t="n">
        <x:v>93.3</x:v>
      </x:c>
      <x:c r="M18" s="45" t="n">
        <x:v>94.7</x:v>
      </x:c>
      <x:c r="N18" s="45" t="n">
        <x:v>0.272</x:v>
      </x:c>
      <x:c r="O18" s="45" t="n">
        <x:v>0.152</x:v>
      </x:c>
      <x:c r="P18" s="45" t="n">
        <x:v>0.9561</x:v>
      </x:c>
      <x:c r="Q18" s="45" t="n">
        <x:v>0.952</x:v>
      </x:c>
      <x:c r="R18" s="45" t="n">
        <x:v>0.6</x:v>
      </x:c>
      <x:c r="S18" s="45" t="n">
        <x:v>0.718</x:v>
      </x:c>
      <x:c r="T18" s="45" t="n">
        <x:v>1</x:v>
      </x:c>
      <x:c r="U18" s="45" t="n">
        <x:v>1</x:v>
      </x:c>
      <x:c r="V18" s="45" t="n">
        <x:v>3.54</x:v>
      </x:c>
      <x:c r="W18" s="45" t="n">
        <x:v>3.5</x:v>
      </x:c>
      <x:c r="X18" s="45" t="n">
        <x:v>0</x:v>
      </x:c>
      <x:c r="Y18" s="45" t="n">
        <x:v>0</x:v>
      </x:c>
      <x:c r="Z18" s="45" t="n">
        <x:v>0</x:v>
      </x:c>
      <x:c r="AA18" s="45" t="n">
        <x:v>0</x:v>
      </x:c>
      <x:c r="AB18" s="50" t="str">
        <x:f t="shared" si="2"/>
        <x:v>V3</x:v>
      </x:c>
      <x:c r="AC18" s="50" t="str">
        <x:f t="shared" si="3"/>
        <x:v>Đồng hạng</x:v>
      </x:c>
      <x:c r="AD18" s="47" t="str">
        <x:v>Answer: passed / Consumer Decision: answered_partial / QA Grade: partial / Publication: review_required / Publication Reason: partial_answer / Coverage: partial_answer / RAG Coverage: insufficient / Answerable: False / Evidence: insufficient</x:v>
      </x:c>
    </x:row>
    <x:row r="19" ht="42" customHeight="1">
      <x:c r="A19" s="45" t="str">
        <x:v>EBX-Q-018</x:v>
      </x:c>
      <x:c r="B19" s="46" t="str">
        <x:v>Xã hội / Quản trị rủi ro (Risk Management) / Quản trị rủi ro bảo mật thông tin và bảo vệ quyền riêng tư</x:v>
      </x:c>
      <x:c r="C19" s="46" t="str">
        <x:v>Bảo mật thông tin / Quản trị rủi ro bảo mật thông tin và bảo vệ quyền riêng tư</x:v>
      </x:c>
      <x:c r="D19" s="48" t="str">
        <x:v>Daewoong Pharmaceutical đang vận hành hệ thống chính sách bảo mật thông tin được tái cơ cấu thông qua tư vấn pháp lý, bao gồm 1 chính sách, 3 quy định và 12 hướng dẫn. Hệ thống chính sách này được chia sẻ với tất cả các bên liên quan đến công việc, bao gồm cán bộ nhân viên, các công ty liên kết và đối tác, qua đó khuyến nghị tuân thủ chính sách trên toàn công ty. Để tăng cường năng lực bảo mật thông tin toàn diện, công ty đang phân tích tổng thể các hệ thống bảo vệ thông tin mật và thông tin cá nhân trên tất cả các lĩnh vực kiểm soát về tổ chức, con người, vật lý và kỹ thuật, đồng thời thực hiện nghiêm túc lộ trình cải thiện hệ thống đã được thiết lập dựa trên kết quả phân tích này. Không chỉ xây dựng hệ thống phòng thủ kỹ thuật, công ty còn triển khai nhiều hoạt động đa dạng để nâng cao nhận thức bảo mật của nhân viên như các chiến dịch bảo mật, thông báo và đào tạo định kỳ, đồng thời vận hành thường xuyên hệ thống giám sát để phát hiện thời gian thực các hành vi bất thường và rò rỉ thông tin nội bộ nhằm nâng cao khả năng ứng phó rủi ro. Để thực hiện các biện pháp bảo vệ thực tế, công ty lập và phân phối kế hoạch thực hiện chi tiết nhằm hỗ trợ khả năng thực thi của những người phụ trách liên quan. Kết quả là, các biện pháp thực hiện cho 27 mục trong số các hạng mục quản lý đã hoàn tất, và các biện pháp cho 39 mục còn lại vẫn đang được tiếp tục triển khai để nâng cao mức độ bảo mật. Ngoài ra, để nâng cao mức độ bảo mật thông tin đồng nhất cho toàn tập đoàn, công ty cung cấp dịch vụ chia sẻ (shared services) cho các công ty liên kết của Daewoong và hỗ trợ thiết lập chiến lược bảo mật cho các công ty trong tập đoàn, từ đó xây dựng hệ thống quản lý tích hợp để các công ty liên kết có thể vận hành ổn định hệ thống quản trị bảo mật thông tin cùng cấp độ với Daewoong Pharmaceutical.</x:v>
      </x:c>
      <x:c r="E19" s="49" t="str">
        <x:v>Daewoong Pharmaceutical đang bảo vệ tài sản thông tin và thông tin cá nhân của khách hàng thông qua việc duy trì các chứng chỉ ISO 27001 (Bảo mật thông tin) và ISO 27701 (Bảo vệ quyền riêng tư). Thông qua tư vấn pháp lý, công ty đã tái cơ cấu hệ thống chính sách bảo mật thông tin bao gồm 1 chính sách, 3 quy định và 12 hướng dẫn, đồng thời xây dựng hệ thống giám sát chuyên dụng để vận hành cơ chế ứng phó tiên phong và giám sát thường xuyên đối với các hành vi bất thường và rò rỉ thông tin nội bộ. Ngoài ra, trong năm 2024, công ty đã thực hiện nhận diện rủi ro bảo mật thông tin và triển khai các biện pháp khắc phục dựa trên 17 đối tượng kiểm tra để hỗ trợ thực hiện các biện pháp bảo vệ cho các hạng mục còn thiếu sót, đồng thời thực hiện đào tạo và kiểm tra bảo mật đối với các đối tác nước ngoài để ngăn ngừa rò rỉ thông tin.</x:v>
      </x:c>
      <x:c r="F19" s="50" t="n">
        <x:f t="shared" si="0"/>
        <x:v>1</x:v>
      </x:c>
      <x:c r="G19" s="50" t="n">
        <x:f t="shared" si="1"/>
        <x:v>1</x:v>
      </x:c>
      <x:c r="H19" s="45" t="n">
        <x:v>739</x:v>
      </x:c>
      <x:c r="I19" s="45" t="n">
        <x:v>336</x:v>
      </x:c>
      <x:c r="J19" s="45" t="n">
        <x:v>7</x:v>
      </x:c>
      <x:c r="K19" s="45" t="n">
        <x:v>3</x:v>
      </x:c>
      <x:c r="L19" s="45" t="n">
        <x:v>104.7</x:v>
      </x:c>
      <x:c r="M19" s="45" t="n">
        <x:v>111.3</x:v>
      </x:c>
      <x:c r="N19" s="45" t="n">
        <x:v>0.307</x:v>
      </x:c>
      <x:c r="O19" s="45" t="n">
        <x:v>0.218</x:v>
      </x:c>
      <x:c r="P19" s="45" t="n">
        <x:v>0.9403</x:v>
      </x:c>
      <x:c r="Q19" s="45" t="n">
        <x:v>0.9283</x:v>
      </x:c>
      <x:c r="R19" s="45" t="n">
        <x:v>0.466</x:v>
      </x:c>
      <x:c r="S19" s="45" t="n">
        <x:v>0.693</x:v>
      </x:c>
      <x:c r="T19" s="45" t="n">
        <x:v>1</x:v>
      </x:c>
      <x:c r="U19" s="45" t="n">
        <x:v>0.6</x:v>
      </x:c>
      <x:c r="V19" s="45" t="n">
        <x:v>4.06</x:v>
      </x:c>
      <x:c r="W19" s="45" t="n">
        <x:v>2.98</x:v>
      </x:c>
      <x:c r="X19" s="45" t="n">
        <x:v>8</x:v>
      </x:c>
      <x:c r="Y19" s="45" t="n">
        <x:v>20</x:v>
      </x:c>
      <x:c r="Z19" s="45" t="n">
        <x:v>0</x:v>
      </x:c>
      <x:c r="AA19" s="45" t="n">
        <x:v>0</x:v>
      </x:c>
      <x:c r="AB19" s="50" t="str">
        <x:f t="shared" si="2"/>
        <x:v>V3</x:v>
      </x:c>
      <x:c r="AC19" s="50" t="str">
        <x:f t="shared" si="3"/>
        <x:v>V2</x:v>
      </x:c>
      <x:c r="AD19" s="47" t="str">
        <x:v>Answer: passed / Consumer Decision: answered / QA Grade: full / Publication: published / Publication Reason: complete_grounded_answer / Coverage: complete_grounded_answer / RAG Coverage: complete / Answerable: True / Evidence: high_confidence</x:v>
      </x:c>
    </x:row>
    <x:row r="20" ht="42" customHeight="1">
      <x:c r="A20" s="45" t="str">
        <x:v>EBX-Q-019</x:v>
      </x:c>
      <x:c r="B20" s="46" t="str">
        <x:v>Xã hội / Chỉ số (Metrics) / Hiện trạng vi phạm quyền riêng tư và sự cố bảo mật thông tin</x:v>
      </x:c>
      <x:c r="C20" s="46" t="str">
        <x:v>Bảo mật thông tin / Hiện trạng vi phạm quyền riêng tư và sự cố bảo mật thông tin</x:v>
      </x:c>
      <x:c r="D20" s="48" t="str">
        <x:v>Daewoong Pharmaceutical đã ban hành chính sách bảo mật thông tin và tăng cường năng lực bảo mật trong toàn công ty thông qua việc sửa đổi ít nhất một lần mỗi năm. Dựa trên hệ thống quản lý bài bản này, vào năm 2022, công ty đã trở thành doanh nghiệp dược phẩm đầu tiên đạt được các chứng nhận tiêu chuẩn quốc tế ISO 27001 về hệ thống quản lý an toàn thông tin và ISO 27701 về hệ thống quản lý bảo vệ quyền riêng tư, đồng thời duy trì các chứng nhận này trong 3 năm liên tiếp để đảm bảo độ tin cậy bảo mật ở cấp độ toàn cầu. Về mặt thành quả bảo mật thông tin thực tế, tính tổng cộng giữa Daewoong và Daewoong Pharmaceutical, số lượng khiếu nại liên quan đến vi phạm quyền riêng tư hoặc thông tin cá nhân của khách hàng bởi các cơ quan quản lý ghi nhận là 0 vụ từ năm 2022 đến năm 2025, duy trì trạng thái quản lý ổn định. Trong tương lai, công ty kế hoạch sẽ tiếp tục tăng cường hệ thống bảo mật mạnh mẽ cấp độ toàn cầu, đồng thời phát triển hơn nữa hệ thống quản lý bảo mật thông tin thông qua việc xây dựng hệ thống bảo mật đám mây và mở rộng các chương trình nâng cao nhận thức bảo mật cho cán bộ nhân viên.</x:v>
      </x:c>
      <x:c r="E20" s="49"/>
      <x:c r="F20" s="50" t="n">
        <x:f t="shared" si="0"/>
        <x:v>1</x:v>
      </x:c>
      <x:c r="G20" s="50" t="n">
        <x:f t="shared" si="1"/>
        <x:v>0</x:v>
      </x:c>
      <x:c r="H20" s="45" t="n">
        <x:v>425</x:v>
      </x:c>
      <x:c r="I20" s="45" t="n">
        <x:v>0</x:v>
      </x:c>
      <x:c r="J20" s="45" t="n">
        <x:v>4</x:v>
      </x:c>
      <x:c r="K20" s="45" t="n">
        <x:v>0</x:v>
      </x:c>
      <x:c r="L20" s="45" t="n">
        <x:v>105.5</x:v>
      </x:c>
      <x:c r="M20" s="45" t="n">
        <x:v>0</x:v>
      </x:c>
      <x:c r="N20" s="45" t="n">
        <x:v>0.285</x:v>
      </x:c>
      <x:c r="O20" s="45" t="n">
        <x:v>0</x:v>
      </x:c>
      <x:c r="P20" s="45" t="n">
        <x:v>0.9547</x:v>
      </x:c>
      <x:c r="Q20" s="45" t="n">
        <x:v>0</x:v>
      </x:c>
      <x:c r="R20" s="45" t="n">
        <x:v>0.471</x:v>
      </x:c>
      <x:c r="S20" s="45" t="n">
        <x:v>0</x:v>
      </x:c>
      <x:c r="T20" s="45" t="n">
        <x:v>0.6</x:v>
      </x:c>
      <x:c r="U20" s="45" t="n">
        <x:v>0</x:v>
      </x:c>
      <x:c r="V20" s="45" t="n">
        <x:v>9.41</x:v>
      </x:c>
      <x:c r="W20" s="45" t="n">
        <x:v>0</x:v>
      </x:c>
      <x:c r="X20" s="45" t="n">
        <x:v>25</x:v>
      </x:c>
      <x:c r="Y20" s="45" t="n">
        <x:v>0</x:v>
      </x:c>
      <x:c r="Z20" s="45" t="n">
        <x:v>0</x:v>
      </x:c>
      <x:c r="AA20" s="45" t="n">
        <x:v>0</x:v>
      </x:c>
      <x:c r="AB20" s="50" t="str">
        <x:f t="shared" si="2"/>
        <x:v>Không thể so sánh</x:v>
      </x:c>
      <x:c r="AC20" s="50" t="str">
        <x:f t="shared" si="3"/>
        <x:v>Không thể so sánh</x:v>
      </x:c>
      <x:c r="AD20" s="47" t="str">
        <x:v>Answer: failed / Consumer Decision: blocked_qa / QA Grade: failed / Publication: blocked / Publication Reason: qa_not_passed / Coverage: writer_empty / RAG Coverage: complete / Answerable: True / Evidence: high_confidence</x:v>
      </x:c>
    </x:row>
    <x:row r="21" ht="42" customHeight="1">
      <x:c r="A21" s="45" t="str">
        <x:v>EBX-Q-020</x:v>
      </x:c>
      <x:c r="B21" s="46" t="str">
        <x:v>Môi trường / Chiến lược (Strategy) / Chính sách và mục tiêu quản lý môi trường</x:v>
      </x:c>
      <x:c r="C21" s="46" t="str">
        <x:v>Quản lý môi trường / Chính sách và mục tiêu quản lý môi trường</x:v>
      </x:c>
      <x:c r="D21" s="48" t="str">
        <x:v>Daewoong Pharmaceutical theo đuổi mục tiêu không xảy ra tai nạn thông qua quản trị thân thiện với môi trường như giảm phát thải carbon và chất gây ô nhiễm, đồng thời thực hiện quản trị môi trường tuân thủ nghiêm ngặt các quy định pháp luật và quy trình đã định dựa trên ý thức trách nhiệm triệt để và sự tham gia thực hiện nghĩa vụ tích cực của toàn thể cán bộ nhân viên. Để đạt được điều này, công ty đã thiết lập và vận hành một cách hệ thống các quy trình và quy trình quản lý dựa trên hệ thống quản lý môi trường ISO14001, từ đó tập trung vào việc ứng phó chủ động với các vấn đề môi trường tiềm ẩn và rủi ro biến đổi khí hậu có thể phát sinh trong quá trình sản xuất sản phẩm, đồng thời giảm thiểu tác động tiêu cực đến môi trường. Công ty đang xây dựng và vận hành hệ thống quản lý để thu thập và đánh giá thông tin liên quan đến môi trường một cách hệ thống, đồng thời nâng cao khả năng thực thi bằng cách thiết lập các mục tiêu có thể đo lường được để cải thiện môi trường và định kỳ kiểm tra tính phù hợp của các mục tiêu đó. Những nỗ lực cải thiện hiệu quả môi trường này không chỉ dừng lại ở phạm vi hoạt động của doanh nghiệp mà còn được mở rộng và thúc đẩy liên tục trong toàn bộ quá trình phát triển và cung cấp sản phẩm, dịch vụ. Ngoài ra, công ty định kỳ tổ chức đào tạo và huấn luyện về môi trường cho toàn thể cán bộ nhân viên nhằm nâng cao nhận thức về quản trị môi trường và tăng cường năng lực thực hiện thực tế. Thông qua đó, công ty củng cố hệ thống bảo vệ môi trường và vận hành bền vững trên toàn doanh nghiệp, đồng thời thiết lập văn hóa quản lý môi trường chủ động vượt ra ngoài việc tuân thủ quy định.</x:v>
      </x:c>
      <x:c r="E21" s="49" t="str">
        <x:v>Daewoong Pharmaceutical theo đuổi mục tiêu không xảy ra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ứng phó chủ động với các vấn đề môi trường và biến đổi khí hậu có thể phát sinh trong quá trình sản xuất sản phẩm để giảm thiểu tác động tiêu cực đến môi trường. Theo các tài liệu đánh giá bên ngoài, công ty cũng thiết lập và duy trì hệ thống quản trị môi trường, thiết lập các mục tiêu có thể đo lường được để cải thiện môi trường và kiểm tra định kỳ, đồng thời tiếp tục nỗ lực cải thiện hiệu quả môi trường trong quá trình phát triển và cung cấp sản phẩm, dịch vụ.</x:v>
      </x:c>
      <x:c r="F21" s="50" t="n">
        <x:f t="shared" si="0"/>
        <x:v>1</x:v>
      </x:c>
      <x:c r="G21" s="50" t="n">
        <x:f t="shared" si="1"/>
        <x:v>1</x:v>
      </x:c>
      <x:c r="H21" s="45" t="n">
        <x:v>632</x:v>
      </x:c>
      <x:c r="I21" s="45" t="n">
        <x:v>300</x:v>
      </x:c>
      <x:c r="J21" s="45" t="n">
        <x:v>6</x:v>
      </x:c>
      <x:c r="K21" s="45" t="n">
        <x:v>3</x:v>
      </x:c>
      <x:c r="L21" s="45" t="n">
        <x:v>104.5</x:v>
      </x:c>
      <x:c r="M21" s="45" t="n">
        <x:v>99.3</x:v>
      </x:c>
      <x:c r="N21" s="45" t="n">
        <x:v>0.251</x:v>
      </x:c>
      <x:c r="O21" s="45" t="n">
        <x:v>0.181</x:v>
      </x:c>
      <x:c r="P21" s="45" t="n">
        <x:v>0.937</x:v>
      </x:c>
      <x:c r="Q21" s="45" t="n">
        <x:v>0.9242</x:v>
      </x:c>
      <x:c r="R21" s="45" t="n">
        <x:v>0.362</x:v>
      </x:c>
      <x:c r="S21" s="45" t="n">
        <x:v>0.718</x:v>
      </x:c>
      <x:c r="T21" s="45" t="n">
        <x:v>0.667</x:v>
      </x:c>
      <x:c r="U21" s="45" t="n">
        <x:v>0.667</x:v>
      </x:c>
      <x:c r="V21" s="45" t="n">
        <x:v>11.08</x:v>
      </x:c>
      <x:c r="W21" s="45" t="n">
        <x:v>6.67</x:v>
      </x:c>
      <x:c r="X21" s="45" t="n">
        <x:v>5</x:v>
      </x:c>
      <x:c r="Y21" s="45" t="n">
        <x:v>5</x:v>
      </x:c>
      <x:c r="Z21" s="45" t="n">
        <x:v>1</x:v>
      </x:c>
      <x:c r="AA21" s="45" t="n">
        <x:v>1</x:v>
      </x:c>
      <x:c r="AB21" s="50" t="str">
        <x:f t="shared" si="2"/>
        <x:v>V3</x:v>
      </x:c>
      <x:c r="AC21" s="50" t="str">
        <x:f t="shared" si="3"/>
        <x:v>Hòa</x:v>
      </x:c>
      <x:c r="AD21" s="47" t="str">
        <x:v>Answer: passed / Consumer Decision: answered_partial / QA Grade: cautious / Publication: review_required / Publication Reason: assessment_only / Coverage: assessment_only / RAG Coverage: complete / Answerable: True / Evidence: high_confidence</x:v>
      </x:c>
    </x:row>
    <x:row r="22" ht="42" customHeight="1">
      <x:c r="A22" s="45" t="str">
        <x:v>EBX-Q-021</x:v>
      </x:c>
      <x:c r="B22" s="46" t="str">
        <x:v>Môi trường / Quản trị (Governance) / Tổ chức và Trách nhiệm Quản trị Môi trường</x:v>
      </x:c>
      <x:c r="C22" s="46" t="str">
        <x:v>Quản trị Môi trường / Tổ chức và Trách nhiệm Quản trị Môi trường</x:v>
      </x:c>
      <x:c r="D22" s="48" t="str">
        <x:v>Ủy ban Quản trị EHS của Tập đoàn Daewoong bao gồm 6 thành viên Hội đồng quản trị, bao gồm cả Giám đốc điều hành, để giám sát hệ thống quản trị an toàn môi trường. Ủy ban này xem xét chính sách quản trị an toàn môi trường, tình trạng tổ chức, kết quả hoạt động và KPI của các công ty con trong Tập đoàn Daewoong hàng năm, đồng thời phê duyệt ngân sách và kế hoạch kinh doanh an toàn sức khỏe môi trường để đảm bảo trách nhiệm và khả năng thực thi quản trị môi trường trên toàn doanh nghiệp.</x:v>
      </x:c>
      <x:c r="E22" s="49" t="str">
        <x:v>Tập đoàn Daewoong vận hành tổ chức quản lý EHS thông qua Hội đồng quản trị bao gồm 6 thành viên, bao gồm cả Giám đốc điều hành. Tổ chức này có hệ thống trách nhiệm xem xét và phê duyệt chính sách quản lý an toàn môi trường, hiện trạng tổ chức, kết quả hoạt động, KPI, ngân sách và kế hoạch kinh doanh an toàn sức khỏe môi trường của các công ty trong tập đoàn hàng năm.</x:v>
      </x:c>
      <x:c r="F22" s="50" t="n">
        <x:f t="shared" si="0"/>
        <x:v>1</x:v>
      </x:c>
      <x:c r="G22" s="50" t="n">
        <x:f t="shared" si="1"/>
        <x:v>1</x:v>
      </x:c>
      <x:c r="H22" s="45" t="n">
        <x:v>178</x:v>
      </x:c>
      <x:c r="I22" s="45" t="n">
        <x:v>143</x:v>
      </x:c>
      <x:c r="J22" s="45" t="n">
        <x:v>2</x:v>
      </x:c>
      <x:c r="K22" s="45" t="n">
        <x:v>2</x:v>
      </x:c>
      <x:c r="L22" s="45" t="n">
        <x:v>88.5</x:v>
      </x:c>
      <x:c r="M22" s="45" t="n">
        <x:v>71</x:v>
      </x:c>
      <x:c r="N22" s="45" t="n">
        <x:v>0.243</x:v>
      </x:c>
      <x:c r="O22" s="45" t="n">
        <x:v>0.239</x:v>
      </x:c>
      <x:c r="P22" s="45" t="n">
        <x:v>0.9474</x:v>
      </x:c>
      <x:c r="Q22" s="45" t="n">
        <x:v>0.9677</x:v>
      </x:c>
      <x:c r="R22" s="45" t="n">
        <x:v>0.368</x:v>
      </x:c>
      <x:c r="S22" s="45" t="n">
        <x:v>0.554</x:v>
      </x:c>
      <x:c r="T22" s="45" t="n">
        <x:v>1</x:v>
      </x:c>
      <x:c r="U22" s="45" t="n">
        <x:v>0.667</x:v>
      </x:c>
      <x:c r="V22" s="45" t="n">
        <x:v>0</x:v>
      </x:c>
      <x:c r="W22" s="45" t="n">
        <x:v>6.99</x:v>
      </x:c>
      <x:c r="X22" s="45" t="n">
        <x:v>1</x:v>
      </x:c>
      <x:c r="Y22" s="45" t="n">
        <x:v>1</x:v>
      </x:c>
      <x:c r="Z22" s="45" t="n">
        <x:v>0</x:v>
      </x:c>
      <x:c r="AA22" s="45" t="n">
        <x:v>0</x:v>
      </x:c>
      <x:c r="AB22" s="50" t="str">
        <x:f t="shared" si="2"/>
        <x:v>V3</x:v>
      </x:c>
      <x:c r="AC22" s="50" t="str">
        <x:f t="shared" si="3"/>
        <x:v>V2</x:v>
      </x:c>
      <x:c r="AD22" s="47" t="str">
        <x:v>Answer: passed / Consumer Decision: answered_partial / QA Grade: partial / Publication: review_required / Publication Reason: missing_expected_facets / Coverage: missing_expected_facets / RAG Coverage: complete / Answerable: True / Evidence: high_confidence</x:v>
      </x:c>
    </x:row>
    <x:row r="23" ht="42" customHeight="1">
      <x:c r="A23" s="45" t="str">
        <x:v>EBX-Q-022</x:v>
      </x:c>
      <x:c r="B23" s="46" t="str">
        <x:v>Môi trường / Quản trị rủi ro (Risk Management) / Quản lý tác động và rủi ro môi trường</x:v>
      </x:c>
      <x:c r="C23" s="46" t="str">
        <x:v>Quản lý môi trường / Quản lý tác động và rủi ro môi trường</x:v>
      </x:c>
      <x:c r="D23" s="48" t="str">
        <x:v>Chúng tôi đang vận hành một quy trình quản lý hệ thống nhằm định kỳ nhận diện và đánh giá các tác động tiêu cực đến môi trường có thể phát sinh trong toàn bộ hoạt động kinh doanh cũng như sản phẩm và dịch vụ. Đặc biệt, chúng tôi tập trung vào việc quản lý chủ động các yếu tố rủi ro tiềm ẩn bằng cách xác định trước các rủi ro môi trường trong nơi làm việc và thực hiện các hoạt động cải thiện tương ứng. Quan điểm quản trị rủi ro này được áp dụng cho đến giai đoạn ra quyết định đầu tư, xem xét kỹ lưỡng các yếu tố rủi ro và cơ hội về môi trường để phản ánh vào chiến lược kinh doanh. Để bảo vệ môi trường và quyền môi trường, chúng tôi thiết lập các chính sách và mục tiêu cụ thể, có thể đo lường và đạt được, đồng thời liên tục giám sát. Dựa trên cơ sở này, chúng tôi thực hiện một cách hệ thống các hoạt động quản lý môi trường chính như quản lý mục tiêu và hiệu quả môi trường, tuân thủ pháp luật, quản lý năng lượng và khí nhà kính, từ đó tăng cường năng lực ứng phó rủi ro. Để giảm thiểu tác động môi trường thực tế, chúng tôi triển khai các hoạt động tối ưu hóa sử dụng nguyên liệu thô và năng lượng, giảm lượng chất thải và phát thải khí nhà kính nhằm giảm thiểu gánh nặng cho môi trường. Ngoài ra, bằng cách cung cấp đào tạo môi trường định kỳ cho toàn thể cán bộ nhân viên, chúng tôi nâng cao nhận thức về rủi ro môi trường cho mọi thành viên và xây dựng văn hóa tự giác thực hiện quản lý môi trường.</x:v>
      </x:c>
      <x:c r="E23" s="49" t="str">
        <x:v>Theo tài liệu đánh giá bên ngoài, Daewoong Pharmaceutical định kỳ nhận diện và đánh giá các tác động tiêu cực đến môi trường liên quan đến hoạt động kinh doanh, sản phẩm hoặc dịch vụ.</x:v>
      </x:c>
      <x:c r="F23" s="50" t="n">
        <x:f t="shared" si="0"/>
        <x:v>1</x:v>
      </x:c>
      <x:c r="G23" s="50" t="n">
        <x:f t="shared" si="1"/>
        <x:v>1</x:v>
      </x:c>
      <x:c r="H23" s="45" t="n">
        <x:v>579</x:v>
      </x:c>
      <x:c r="I23" s="45" t="n">
        <x:v>73</x:v>
      </x:c>
      <x:c r="J23" s="45" t="n">
        <x:v>7</x:v>
      </x:c>
      <x:c r="K23" s="45" t="n">
        <x:v>1</x:v>
      </x:c>
      <x:c r="L23" s="45" t="n">
        <x:v>81.9</x:v>
      </x:c>
      <x:c r="M23" s="45" t="n">
        <x:v>73</x:v>
      </x:c>
      <x:c r="N23" s="45" t="n">
        <x:v>0.104</x:v>
      </x:c>
      <x:c r="O23" s="45" t="n">
        <x:v>0</x:v>
      </x:c>
      <x:c r="P23" s="45" t="n">
        <x:v>0.8912</x:v>
      </x:c>
      <x:c r="Q23" s="45" t="n">
        <x:v>1</x:v>
      </x:c>
      <x:c r="R23" s="45" t="n">
        <x:v>0.34</x:v>
      </x:c>
      <x:c r="S23" s="45" t="n">
        <x:v>0.75</x:v>
      </x:c>
      <x:c r="T23" s="45" t="n">
        <x:v>1</x:v>
      </x:c>
      <x:c r="U23" s="45" t="n">
        <x:v>0.6</x:v>
      </x:c>
      <x:c r="V23" s="45" t="n">
        <x:v>6.91</x:v>
      </x:c>
      <x:c r="W23" s="45" t="n">
        <x:v>0</x:v>
      </x:c>
      <x:c r="X23" s="45" t="n">
        <x:v>0</x:v>
      </x:c>
      <x:c r="Y23" s="45" t="n">
        <x:v>0</x:v>
      </x:c>
      <x:c r="Z23" s="45" t="n">
        <x:v>1</x:v>
      </x:c>
      <x:c r="AA23" s="45" t="n">
        <x:v>0</x:v>
      </x:c>
      <x:c r="AB23" s="50" t="str">
        <x:f t="shared" si="2"/>
        <x:v>V3</x:v>
      </x:c>
      <x:c r="AC23" s="50" t="str">
        <x:f t="shared" si="3"/>
        <x:v>V2</x:v>
      </x:c>
      <x:c r="AD23" s="47" t="str">
        <x:v>Answer: passed / Consumer Decision: answered_partial / QA Grade: cautious / Publication: review_required / Publication Reason: draft_evidence / Coverage: draft_evidence / RAG Coverage: complete / Answerable: True / Evidence: high_confidence</x:v>
      </x:c>
    </x:row>
    <x:row r="24" ht="42" customHeight="1">
      <x:c r="A24" s="45" t="str">
        <x:v>EBX-Q-023</x:v>
      </x:c>
      <x:c r="B24" s="46" t="str">
        <x:v>Môi trường / Chỉ số (Metrics) / Chỉ số hiệu quả môi trường và hiện trạng sự cố môi trường</x:v>
      </x:c>
      <x:c r="C24" s="46" t="str">
        <x:v>Quản lý môi trường / Chỉ số hiệu quả môi trường và hiện trạng sự cố môi trường</x:v>
      </x:c>
      <x:c r="D24" s="48" t="str">
        <x:v>Daewoong Pharmaceutical đang quản lý kết quả quản trị môi trường thông qua việc cải thiện hiệu quả năng lượng và mở rộng tuần hoàn tài nguyên. Về cường độ năng lượng, tính đến năm 2025 là 65,86 GJ/100 triệu won, giảm so với mức 68,23 GJ/100 triệu won của năm 2024 và đạt mục tiêu của năm trước là 73,27 GJ/100 triệu won. Công ty cũng đang thúc đẩy cải thiện liên tục trong quản lý tài nguyên nước và chất thải. Tỷ lệ tái sử dụng nước đã tăng từ 7,23% năm 2024 lên 9,34% năm 2025, và đặt mục tiêu mở rộng lên 14,7% vào năm 2026. Tỷ lệ tái chế chất thải ghi nhận mức 89,1% năm 2025 sau mức 89,2% năm 2024, và công ty đang tăng cường hệ thống tuần hoàn tài nguyên với mục tiêu đạt 90,2% vào năm 2026.</x:v>
      </x:c>
      <x:c r="E24" s="49"/>
      <x:c r="F24" s="50" t="n">
        <x:f t="shared" si="0"/>
        <x:v>1</x:v>
      </x:c>
      <x:c r="G24" s="50" t="n">
        <x:f t="shared" si="1"/>
        <x:v>0</x:v>
      </x:c>
      <x:c r="H24" s="45" t="n">
        <x:v>359</x:v>
      </x:c>
      <x:c r="I24" s="45" t="n">
        <x:v>0</x:v>
      </x:c>
      <x:c r="J24" s="45" t="n">
        <x:v>5</x:v>
      </x:c>
      <x:c r="K24" s="45" t="n">
        <x:v>0</x:v>
      </x:c>
      <x:c r="L24" s="45" t="n">
        <x:v>71</x:v>
      </x:c>
      <x:c r="M24" s="45" t="n">
        <x:v>0</x:v>
      </x:c>
      <x:c r="N24" s="45" t="n">
        <x:v>0.319</x:v>
      </x:c>
      <x:c r="O24" s="45" t="n">
        <x:v>0</x:v>
      </x:c>
      <x:c r="P24" s="45" t="n">
        <x:v>0.925</x:v>
      </x:c>
      <x:c r="Q24" s="45" t="n">
        <x:v>0</x:v>
      </x:c>
      <x:c r="R24" s="45" t="n">
        <x:v>0.348</x:v>
      </x:c>
      <x:c r="S24" s="45" t="n">
        <x:v>0</x:v>
      </x:c>
      <x:c r="T24" s="45" t="n">
        <x:v>0.5</x:v>
      </x:c>
      <x:c r="U24" s="45" t="n">
        <x:v>0</x:v>
      </x:c>
      <x:c r="V24" s="45" t="n">
        <x:v>5.57</x:v>
      </x:c>
      <x:c r="W24" s="45" t="n">
        <x:v>0</x:v>
      </x:c>
      <x:c r="X24" s="45" t="n">
        <x:v>62</x:v>
      </x:c>
      <x:c r="Y24" s="45" t="n">
        <x:v>0</x:v>
      </x:c>
      <x:c r="Z24" s="45" t="n">
        <x:v>0</x:v>
      </x:c>
      <x:c r="AA24" s="45" t="n">
        <x:v>0</x:v>
      </x:c>
      <x:c r="AB24" s="50" t="str">
        <x:f t="shared" si="2"/>
        <x:v>Không thể so sánh</x:v>
      </x:c>
      <x:c r="AC24" s="50" t="str">
        <x:f t="shared" si="3"/>
        <x:v>Không thể so sánh</x:v>
      </x:c>
      <x:c r="AD24" s="47" t="str">
        <x:v>Answer: failed / Consumer Decision: blocked_qa / QA Grade: failed / Publication: blocked / Publication Reason: qa_not_passed / Coverage: writer_empty / RAG Coverage: complete / Answerable: True / Evidence: high_confidence</x:v>
      </x:c>
    </x:row>
    <x:row r="25" ht="42" customHeight="1">
      <x:c r="A25" s="45" t="str">
        <x:v>EBX-Q-024</x:v>
      </x:c>
      <x:c r="B25" s="46" t="str">
        <x:v>Quản trị / Chiến lược (Strategy) / Chính sách và mục tiêu quản trị đạo đức</x:v>
      </x:c>
      <x:c r="C25" s="46" t="str">
        <x:v>Quản trị đạo đức / Chính sách và mục tiêu quản trị đạo đức</x:v>
      </x:c>
      <x:c r="D25" s="48" t="str">
        <x:v>Daewoong Pharmaceutical đã thiết lập và vận hành Bộ Quy tắc Đạo đức, định nghĩa một cách hệ thống các giá trị đạo đức và nguyên tắc hành xử mà toàn thể cán bộ nhân viên phải tuân thủ trong mọi quá trình thực hiện công việc. Đây là nền tảng để đảm bảo tính minh bạch trong quản trị doanh nghiệp và thực hiện trách nhiệm xã hội, đồng thời là điểm chuẩn đạo đức chung cho toàn thể nhân viên. Bên cạnh đó, công ty đã xây dựng Bộ Quy tắc Ứng xử bao gồm các hướng dẫn và tiêu chuẩn chi tiết để có thể áp dụng cụ thể các nguyên tắc trừu tượng trong Bộ Quy tắc Đạo đức vào thực tế công việc. Bộ Quy tắc Ứng xử này đóng vai trò là hướng dẫn thực hành giúp nhân viên đưa ra quyết định đúng đắn trong nhiều tình huống khác nhau, góp phần nâng cao thực chất khả năng thực thi quản trị đạo đức. Công ty không chỉ dừng lại ở việc ban hành quy định mà còn nỗ lực đa phương diện để Bộ Quy tắc Đạo đức và Quy tắc Ứng xử được thực hiện thực tế trong tổ chức. Thông qua đó, công ty thúc đẩy quản trị đạo đức không chỉ là một chiến dịch tạm thời mà trở thành giá trị cốt lõi ăn sâu vào văn hóa doanh nghiệp. Hơn nữa, Daewoong Pharmaceutical đang tập trung củng cố hệ thống vận hành CP và quản trị đạo đức để thiết lập văn hóa tuân thủ CP trong toàn công ty. Những nỗ lực này sẽ tiếp tục được đẩy mạnh vào năm 2026, và thông qua quản trị đạo đức và tuân thủ pháp luật nghiêm ngặt, công ty hướng tới phát triển thành một doanh nghiệp có năng lực cạnh tranh và độ tin cậy cấp độ toàn cầu, phù hợp với tầm nhìn doanh nghiệp là Global Healthcare Group.</x:v>
      </x:c>
      <x:c r="E25" s="49" t="str">
        <x:v>Daewoong Pharmaceutical vận hành Bộ Quy tắc Đạo đức quy định các giá trị đạo đức và nguyên tắc hành xử mà nhân viên phải tuân thủ trong quá trình làm việc, cùng với Bộ Quy tắc Ứng xử là hướng dẫn cụ thể để áp dụng vào thực tế. Công ty nhấn mạnh việc duy trì sự trung thực và thành khẩn trong các mối quan hệ đối ngoại, nghiêm cấm các yêu cầu bất công và thu lợi bất chính, đồng thời áp dụng nguyên tắc không khoan nhượng, điều tra và xử lý triệt để các hành vi vi phạm quy tắc đạo đức. Ngoài ra, công ty đặt mục tiêu chứng minh là một doanh nghiệp đạo đức minh bạch không có hối lộ (rebate) bằng cách củng cố vận hành CP (Chương trình tự tuân thủ giao dịch công bằng) và quản trị đạo đức, từ đó trở thành một doanh nghiệp đáng tin cậy thông qua việc tăng cường quản trị đạo đức.</x:v>
      </x:c>
      <x:c r="F25" s="50" t="n">
        <x:f t="shared" si="0"/>
        <x:v>1</x:v>
      </x:c>
      <x:c r="G25" s="50" t="n">
        <x:f t="shared" si="1"/>
        <x:v>1</x:v>
      </x:c>
      <x:c r="H25" s="45" t="n">
        <x:v>686</x:v>
      </x:c>
      <x:c r="I25" s="45" t="n">
        <x:v>308</x:v>
      </x:c>
      <x:c r="J25" s="45" t="n">
        <x:v>8</x:v>
      </x:c>
      <x:c r="K25" s="45" t="n">
        <x:v>3</x:v>
      </x:c>
      <x:c r="L25" s="45" t="n">
        <x:v>84.9</x:v>
      </x:c>
      <x:c r="M25" s="45" t="n">
        <x:v>102</x:v>
      </x:c>
      <x:c r="N25" s="45" t="n">
        <x:v>0.236</x:v>
      </x:c>
      <x:c r="O25" s="45" t="n">
        <x:v>0.063</x:v>
      </x:c>
      <x:c r="P25" s="45" t="n">
        <x:v>0.9348</x:v>
      </x:c>
      <x:c r="Q25" s="45" t="n">
        <x:v>0.9743</x:v>
      </x:c>
      <x:c r="R25" s="45" t="n">
        <x:v>0.251</x:v>
      </x:c>
      <x:c r="S25" s="45" t="n">
        <x:v>0.532</x:v>
      </x:c>
      <x:c r="T25" s="45" t="n">
        <x:v>0.333</x:v>
      </x:c>
      <x:c r="U25" s="45" t="n">
        <x:v>0.667</x:v>
      </x:c>
      <x:c r="V25" s="45" t="n">
        <x:v>8.75</x:v>
      </x:c>
      <x:c r="W25" s="45" t="n">
        <x:v>3.25</x:v>
      </x:c>
      <x:c r="X25" s="45" t="n">
        <x:v>4</x:v>
      </x:c>
      <x:c r="Y25" s="45" t="n">
        <x:v>0</x:v>
      </x:c>
      <x:c r="Z25" s="45" t="n">
        <x:v>0</x:v>
      </x:c>
      <x:c r="AA25" s="45" t="n">
        <x:v>0</x:v>
      </x:c>
      <x:c r="AB25" s="50" t="str">
        <x:f t="shared" si="2"/>
        <x:v>V3</x:v>
      </x:c>
      <x:c r="AC25" s="50" t="str">
        <x:f t="shared" si="3"/>
        <x:v>V3</x:v>
      </x:c>
      <x:c r="AD25" s="47" t="str">
        <x:v>Answer: passed / Consumer Decision: answered_partial / QA Grade: partial / Publication: review_required / Publication Reason: partial_answer / Coverage: partial_answer / RAG Coverage: insufficient / Answerable: False / Evidence: insufficient</x:v>
      </x:c>
    </x:row>
    <x:row r="26" ht="42" customHeight="1">
      <x:c r="A26" s="45" t="str">
        <x:v>EBX-Q-025</x:v>
      </x:c>
      <x:c r="B26" s="46" t="str">
        <x:v>Quản trị / Quản trị (Governance) / Tổ chức và hệ thống vận hành quản trị đạo đức</x:v>
      </x:c>
      <x:c r="C26" s="46" t="str">
        <x:v>Quản trị đạo đức / Tổ chức và hệ thống vận hành quản trị đạo đức</x:v>
      </x:c>
      <x:c r="D26" s="48" t="str">
        <x:v>Daewoong Pharmaceutical vận hành hòm thư góp ý quản trị đạo đức để tiếp nhận thường xuyên các khiếu nại của cán bộ nhân viên, báo cáo vi phạm quy tắc đạo đức và ý kiến cải thiện chế độ. Thông qua đó, công ty tập trung vào việc tăng cường tính minh bạch và liêm chính trong tổ chức, ngăn ngừa trước các hành vi bất công, nhằm xây dựng văn hóa doanh nghiệp lành mạnh với sự tham gia của toàn thể nhân viên. Đối tượng báo cáo qua hòm thư góp ý được quy định bao gồm tất cả các hành vi phi đạo đức gây tổn hại đến văn hóa doanh nghiệp lành mạnh như nhận hối lộ, giao dịch bất chính, quấy rối tình dục vi phạm quy tắc đạo đức và pháp luật liên quan, cũng như việc nhận tiền bạc hoặc cung cấp chiêu đãi. Ngoài ra, không chỉ dừng lại ở việc báo cáo vi phạm, công ty còn tiếp nhận rộng rãi các đề xuất cải thiện chính sách có thể dẫn đến thay đổi tích cực trong văn hóa doanh nghiệp hoặc phương thức xử lý công việc hiệu quả, nhằm nâng cao tính thực tiễn của hệ thống vận hành. Đặc biệt, công ty tuân thủ nghiêm ngặt nguyên tắc bảo vệ người báo cáo để họ có thể tự do bày tỏ ý kiến mà không lo ngại về việc lộ danh tính hay chịu bất lợi về nhân sự. Thông qua hệ thống bảo vệ đảm bảo nghiêm ngặt danh tính người báo cáo, công ty đảm bảo độ tin cậy của chế độ báo cáo nội bộ, từ đó quản lý một cách hệ thống các vi phạm quản trị đạo đức và xây dựng môi trường tổ chức liêm chính.</x:v>
      </x:c>
      <x:c r="E26" s="49" t="str">
        <x:v>Daewoong Pharmaceutical vận hành CP (Chương trình Tuân thủ Tự nguyện về Thương mại Công bằng) để tự giác tuân thủ các quy định pháp luật liên quan đến giao dịch công bằng. Tập trung vào tổ chức chuyên trách CP gồm 9 thành viên, công ty đã xây dựng và vận hành hệ thống đào tạo, giám sát, chế tài và đánh giá, đồng thời thực hiện vận hành Ủy ban CP, kiểm tra thường xuyên các buổi giới thiệu sản phẩm và áp dụng các biện pháp kỷ luật đối với người vi phạm. Ngoài ra, công ty đang tăng cường hệ thống quản trị tuân thủ minh bạch thông qua việc hỗ trợ các công ty liên kết trong tập đoàn và ứng phó với các cuộc kiểm toán định kỳ của đối tác.</x:v>
      </x:c>
      <x:c r="F26" s="50" t="n">
        <x:f t="shared" si="0"/>
        <x:v>1</x:v>
      </x:c>
      <x:c r="G26" s="50" t="n">
        <x:f t="shared" si="1"/>
        <x:v>1</x:v>
      </x:c>
      <x:c r="H26" s="45" t="n">
        <x:v>561</x:v>
      </x:c>
      <x:c r="I26" s="45" t="n">
        <x:v>216</x:v>
      </x:c>
      <x:c r="J26" s="45" t="n">
        <x:v>6</x:v>
      </x:c>
      <x:c r="K26" s="45" t="n">
        <x:v>3</x:v>
      </x:c>
      <x:c r="L26" s="45" t="n">
        <x:v>92.7</x:v>
      </x:c>
      <x:c r="M26" s="45" t="n">
        <x:v>71.3</x:v>
      </x:c>
      <x:c r="N26" s="45" t="n">
        <x:v>0.173</x:v>
      </x:c>
      <x:c r="O26" s="45" t="n">
        <x:v>0.304</x:v>
      </x:c>
      <x:c r="P26" s="45" t="n">
        <x:v>0.9568</x:v>
      </x:c>
      <x:c r="Q26" s="45" t="n">
        <x:v>0.945</x:v>
      </x:c>
      <x:c r="R26" s="45" t="n">
        <x:v>0.302</x:v>
      </x:c>
      <x:c r="S26" s="45" t="n">
        <x:v>0.693</x:v>
      </x:c>
      <x:c r="T26" s="45" t="n">
        <x:v>1</x:v>
      </x:c>
      <x:c r="U26" s="45" t="n">
        <x:v>0.75</x:v>
      </x:c>
      <x:c r="V26" s="45" t="n">
        <x:v>5.35</x:v>
      </x:c>
      <x:c r="W26" s="45" t="n">
        <x:v>9.26</x:v>
      </x:c>
      <x:c r="X26" s="45" t="n">
        <x:v>0</x:v>
      </x:c>
      <x:c r="Y26" s="45" t="n">
        <x:v>1</x:v>
      </x:c>
      <x:c r="Z26" s="45" t="n">
        <x:v>0</x:v>
      </x:c>
      <x:c r="AA26" s="45" t="n">
        <x:v>0</x:v>
      </x:c>
      <x:c r="AB26" s="50" t="str">
        <x:f t="shared" si="2"/>
        <x:v>V3</x:v>
      </x:c>
      <x:c r="AC26" s="50" t="str">
        <x:f t="shared" si="3"/>
        <x:v>V2</x:v>
      </x:c>
      <x:c r="AD26" s="47" t="str">
        <x:v>Answer: passed / Consumer Decision: answered_partial / QA Grade: partial / Publication: review_required / Publication Reason: missing_expected_facets / Coverage: missing_expected_facets / RAG Coverage: insufficient / Answerable: False / Evidence: insufficient</x:v>
      </x:c>
    </x:row>
    <x:row r="27" ht="42" customHeight="1">
      <x:c r="A27" s="45" t="str">
        <x:v>EBX-Q-026</x:v>
      </x:c>
      <x:c r="B27" s="46" t="str">
        <x:v>Quản trị / Quản trị rủi ro (Risk Management) / Quản trị rủi ro đạo đức và tuân thủ</x:v>
      </x:c>
      <x:c r="C27" s="46" t="str">
        <x:v>Quản trị đạo đức / Quản lý rủi ro tuân thủ và đạo đức</x:v>
      </x:c>
      <x:c r="D27" s="48" t="str">
        <x:v>Daewoong Pharmaceutical đang tập trung giảm thiểu rủi ro pháp lý bằng cách tuân thủ nghiêm ngặt các luật lệ và quy định trong và ngoài nước, đồng thời tăng cường đạo đức doanh nghiệp. Đặc biệt, dựa trên Hệ thống quản lý chống hối lộ ISO 37001, công ty thực hiện đánh giá rủi ro tham nhũng, kiểm tra nội bộ, kiểm tra sau đánh giá và xem xét quản lý để nâng cao hệ thống quản trị tuân thủ và đạo đức, cũng như duy trì chứng nhận. Để thiết lập văn hóa kinh doanh và tiếp thị công bằng, minh bạch, công ty đang tăng cường hệ thống báo cáo và giám sát chi tiêu lợi ích kinh tế. Các chi tiết chi tiêu theo từng hạng mục như hội thảo giới thiệu sản phẩm, cung cấp mẫu thử, tham gia hội thảo học thuật và hỗ trợ thử nghiệm lâm sàng, khảo sát sau bán hàng được lập, lưu trữ và nộp cho Cơ quan Xem xét và Đánh giá Bảo hiểm Y tế (HIRA), đồng thời tinh chỉnh hệ thống quản lý thông qua cải thiện hệ thống quản lý chi tiêu và thắt chặt tiêu chuẩn vận hành bộ phận kinh doanh. Ngoài ra, công ty quản lý rủi ro một cách chủ động bằng cách thường xuyên kiểm tra chi tiết sử dụng chi phí kinh doanh/tiếp thị và chi tiết hóa các kịch bản giám sát sử dụng thẻ doanh nghiệp. Để nâng cao khả năng thực thi quản trị tuân thủ, một tổ chức chuyên trách CP (Chương trình tự tuân thủ giao dịch công bằng) đã được thành lập để loại bỏ rủi ro giao dịch không công bằng, đồng thời triển khai đào tạo và cam kết chống tham nhũng và giao dịch công bằng cho cán bộ nhân viên. Bên cạnh đó, để đáp ứng chế độ khai báo CSO, công ty đã hoàn tất khai báo người kinh doanh xúc tiến dược phẩm và thiết bị y tế, đồng thời hoàn thành các khóa đào tạo bắt buộc liên quan để đảm bảo tính tuân thủ pháp luật. Cùng với đó, các bộ phận chính liên tục cải thiện và bổ sung chính sách kiểm soát nội bộ theo sự thay đổi của pháp luật để quản lý hiệu quả rủi ro trong toàn bộ hoạt động kinh doanh.</x:v>
      </x:c>
      <x:c r="E27" s="49" t="str">
        <x:v>Để giảm thiểu rủi ro tham nhũng và pháp lý, Daewoong Pharmaceutical đã đạt chứng nhận ISO 37001 (Hệ thống quản lý chống hối lộ) để xây dựng và vận hành hệ thống quản lý dựa trên tiêu chuẩn quốc tế, đồng thời nâng cao hệ thống thông qua đánh giá rủi ro tham nhũng, kiểm tra nội bộ, kiểm tra sau đánh giá và xem xét quản lý. Ngoài ra, để tự nguyện tuân thủ các quy định pháp luật liên quan như Luật Giao dịch Công bằng, Luật Dược, công ty vận hành Chương trình tự tuân thủ giao dịch công bằng (CP) và thành lập tổ chức chuyên trách CP để quản lý rủi ro giao dịch không công bằng. Cùng với đó, công ty đang thiết lập văn hóa kinh doanh tiếp thị minh bạch thông qua việc tăng cường hệ thống báo cáo và giám sát chi tiêu lợi ích kinh tế, thực hiện đào tạo chống tham nhũng toàn công ty và cam kết của nhân viên, đáp ứng chế độ khai báo CSO, đồng thời liên tục cải thiện chính sách kiểm soát nội bộ theo những thay đổi của pháp luật liên quan.</x:v>
      </x:c>
      <x:c r="F27" s="50" t="n">
        <x:f t="shared" si="0"/>
        <x:v>1</x:v>
      </x:c>
      <x:c r="G27" s="50" t="n">
        <x:f t="shared" si="1"/>
        <x:v>1</x:v>
      </x:c>
      <x:c r="H27" s="45" t="n">
        <x:v>693</x:v>
      </x:c>
      <x:c r="I27" s="45" t="n">
        <x:v>378</x:v>
      </x:c>
      <x:c r="J27" s="45" t="n">
        <x:v>8</x:v>
      </x:c>
      <x:c r="K27" s="45" t="n">
        <x:v>3</x:v>
      </x:c>
      <x:c r="L27" s="45" t="n">
        <x:v>85.8</x:v>
      </x:c>
      <x:c r="M27" s="45" t="n">
        <x:v>125.3</x:v>
      </x:c>
      <x:c r="N27" s="45" t="n">
        <x:v>0.225</x:v>
      </x:c>
      <x:c r="O27" s="45" t="n">
        <x:v>0.111</x:v>
      </x:c>
      <x:c r="P27" s="45" t="n">
        <x:v>0.93</x:v>
      </x:c>
      <x:c r="Q27" s="45" t="n">
        <x:v>0.9314</x:v>
      </x:c>
      <x:c r="R27" s="45" t="n">
        <x:v>0.513</x:v>
      </x:c>
      <x:c r="S27" s="45" t="n">
        <x:v>0.581</x:v>
      </x:c>
      <x:c r="T27" s="45" t="n">
        <x:v>1</x:v>
      </x:c>
      <x:c r="U27" s="45" t="n">
        <x:v>0.5</x:v>
      </x:c>
      <x:c r="V27" s="45" t="n">
        <x:v>5.77</x:v>
      </x:c>
      <x:c r="W27" s="45" t="n">
        <x:v>10.58</x:v>
      </x:c>
      <x:c r="X27" s="45" t="n">
        <x:v>5</x:v>
      </x:c>
      <x:c r="Y27" s="45" t="n">
        <x:v>5</x:v>
      </x:c>
      <x:c r="Z27" s="45" t="n">
        <x:v>0</x:v>
      </x:c>
      <x:c r="AA27" s="45" t="n">
        <x:v>0</x:v>
      </x:c>
      <x:c r="AB27" s="50" t="str">
        <x:f t="shared" si="2"/>
        <x:v>V3</x:v>
      </x:c>
      <x:c r="AC27" s="50" t="str">
        <x:f t="shared" si="3"/>
        <x:v>V2</x:v>
      </x:c>
      <x:c r="AD27" s="47" t="str">
        <x:v>Answer: passed / Consumer Decision: answered / QA Grade: full / Publication: published / Publication Reason: complete_grounded_answer / Coverage: complete_grounded_answer / RAG Coverage: complete / Answerable: True / Evidence: high_confidence</x:v>
      </x:c>
    </x:row>
    <x:row r="28" ht="42" customHeight="1">
      <x:c r="A28" s="45" t="str">
        <x:v>EBX-Q-027</x:v>
      </x:c>
      <x:c r="B28" s="46" t="str">
        <x:v>Quản trị / Chỉ số (Metrics) / Tình trạng các vụ việc vi phạm đạo đức và tuân thủ</x:v>
      </x:c>
      <x:c r="C28" s="46" t="str">
        <x:v>Quản trị đạo đức / Tình trạng các vụ việc vi phạm đạo đức và tuân thủ</x:v>
      </x:c>
      <x:c r="D28" s="48" t="str">
        <x:v>Kết quả quản lý đạo đức và tuân thủ được quản lý tích hợp dựa trên tổng hợp của Daewoong và Daewoong Pharmaceutical. Tổng số vụ kỷ luật được ghi nhận là 1 vụ năm 2022, 8 vụ năm 2023, 11 vụ năm 2024 và 19 vụ vào năm 2025. Trong các hạng mục kỷ luật chi tiết, thiếu sót trong quản lý và giám sát được xác nhận xảy ra 5 vụ năm 2023, 2 vụ năm 2024 và 2 vụ năm 2025. Các vụ việc bị phạt tiền hoặc xử phạt liên quan đến vi phạm pháp luật và quy định xảy ra 2 vụ mỗi năm vào năm 2022 và 2023, nhưng không xảy ra trong năm 2024 và 2025. Xem xét tình trạng vi phạm theo từng trường hợp, vi phạm quảng cáo liên quan đến hoạt động marketing trong nước được xác nhận là 2 vụ năm 2022, 1 vụ năm 2023 và 1 vụ năm 2025, bao gồm xử phạt hành chính đối với nghiệp vụ quảng cáo Urushot năm 2023 và trường hợp đình chỉ nghiệp vụ quảng cáo Impactamin Premium Once Tab năm 2025. Đối với các vi phạm quy định khác, có 1 vụ năm 2022, 1 vụ năm 2023, 3 vụ năm 2024 và 1 vụ năm 2025. Các trường hợp chính bao gồm đình chỉ nghiệp vụ sản xuất Phenostop 3 tháng năm 2023, tự nguyện thu hồi dung dịch dùng ngoài Zupli năm 2024, lệnh thu hồi và tiêu hủy siro Eldos, và biện pháp thu hồi của người vận hành đối với Cloat. Ngoài ra, đối với những người vi phạm tiêu chuẩn CP như quấy rối tại nơi làm việc và sử dụng trái phép thẻ pháp nhân, công ty đang quản lý bằng cách áp dụng các tiêu chuẩn đạo đức nghiêm ngặt, chẳng hạn như thực hiện kỷ luật nặng từ 3 tháng giảm lương trở lên thông qua việc đưa ra Hội đồng Nhân sự.</x:v>
      </x:c>
      <x:c r="E28" s="49"/>
      <x:c r="F28" s="50" t="n">
        <x:f t="shared" si="0"/>
        <x:v>1</x:v>
      </x:c>
      <x:c r="G28" s="50" t="n">
        <x:f t="shared" si="1"/>
        <x:v>0</x:v>
      </x:c>
      <x:c r="H28" s="45" t="n">
        <x:v>661</x:v>
      </x:c>
      <x:c r="I28" s="45" t="n">
        <x:v>0</x:v>
      </x:c>
      <x:c r="J28" s="45" t="n">
        <x:v>8</x:v>
      </x:c>
      <x:c r="K28" s="45" t="n">
        <x:v>0</x:v>
      </x:c>
      <x:c r="L28" s="45" t="n">
        <x:v>81.8</x:v>
      </x:c>
      <x:c r="M28" s="45" t="n">
        <x:v>0</x:v>
      </x:c>
      <x:c r="N28" s="45" t="n">
        <x:v>0.337</x:v>
      </x:c>
      <x:c r="O28" s="45" t="n">
        <x:v>0</x:v>
      </x:c>
      <x:c r="P28" s="45" t="n">
        <x:v>0.9104</x:v>
      </x:c>
      <x:c r="Q28" s="45" t="n">
        <x:v>0</x:v>
      </x:c>
      <x:c r="R28" s="45" t="n">
        <x:v>0.309</x:v>
      </x:c>
      <x:c r="S28" s="45" t="n">
        <x:v>0</x:v>
      </x:c>
      <x:c r="T28" s="45" t="n">
        <x:v>1</x:v>
      </x:c>
      <x:c r="U28" s="45" t="n">
        <x:v>0</x:v>
      </x:c>
      <x:c r="V28" s="45" t="n">
        <x:v>0</x:v>
      </x:c>
      <x:c r="W28" s="45" t="n">
        <x:v>0</x:v>
      </x:c>
      <x:c r="X28" s="45" t="n">
        <x:v>107</x:v>
      </x:c>
      <x:c r="Y28" s="45" t="n">
        <x:v>0</x:v>
      </x:c>
      <x:c r="Z28" s="45" t="n">
        <x:v>0</x:v>
      </x:c>
      <x:c r="AA28" s="45" t="n">
        <x:v>0</x:v>
      </x:c>
      <x:c r="AB28" s="50" t="str">
        <x:f t="shared" si="2"/>
        <x:v>Không thể so sánh</x:v>
      </x:c>
      <x:c r="AC28" s="50" t="str">
        <x:f t="shared" si="3"/>
        <x:v>Không thể so sánh</x:v>
      </x:c>
      <x:c r="AD28" s="47" t="str">
        <x:v>Answer: failed / Consumer Decision: blocked_qa / QA Grade: failed / Publication: blocked / Publication Reason: qa_not_passed / Coverage: writer_empty / RAG Coverage: complete / Answerable: True / Evidence: high_confidence</x:v>
      </x:c>
    </x:row>
    <x:row r="29" ht="42" customHeight="1">
      <x:c r="A29" s="45" t="str">
        <x:v>EBX-Q-028</x:v>
      </x:c>
      <x:c r="B29" s="46" t="str">
        <x:v>Môi trường / Chiến lược (Strategy) / Chiến lược giảm phát thải khí nhà kính và mục tiêu trung hòa carbon</x:v>
      </x:c>
      <x:c r="C29" s="46" t="str">
        <x:v>Hành động khí hậu / Chiến lược giảm phát thải khí nhà kính và mục tiêu trung hòa carbon</x:v>
      </x:c>
      <x:c r="D29" s="48" t="str">
        <x:v>Dưới trách nhiệm của ban điều hành cấp cao, chúng tôi thiết lập các mục tiêu và kế hoạch thực hiện đầy thách thức, đồng thời liên tục nâng cao hiệu quả của hệ thống quản lý thông qua kiểm tra và đánh giá định kỳ. Daewoong Pharmaceutical thiết lập định hướng chiến lược cốt lõi là hiện thực hóa trung hòa carbon và giảm thiểu tác động môi trường, tập trung vào việc mở rộng sử dụng nguyên liệu thân thiện với môi trường, giảm phát thải khí nhà kính, ngăn ngừa ô nhiễm và thúc đẩy các hoạt động tuần hoàn tài nguyên. Đặc biệt, công ty vận hành hệ thống quản lý tiên phong các yếu tố tác động môi trường chính như không khí, nước, chất thải và hóa chất, đồng thời đi đầu trong việc hiện thực hóa trung hòa carbon và bảo tồn hệ sinh thái bằng cách giảm thiểu tác động môi trường trong toàn bộ quy trình sản phẩm thông qua đổi mới công nghệ thân thiện với môi trường và cải tiến quy trình. Về mặt quản lý năng lượng, chúng tôi áp dụng nguyên tắc ưu tiên xem xét việc áp dụng các thiết bị, sản phẩm và dịch vụ hiệu suất cao. Chúng tôi thực hiện quản lý năng lượng có trách nhiệm bằng cách phản ánh tích cực các yếu tố nâng cao hiệu quả năng lượng trong quá trình xây mới hoặc thay đổi quy trình và thiết bị. Cùng với đó, chúng tôi liên tục thúc đẩy nâng cao hiệu quả năng lượng và tối ưu hóa sử dụng thông qua quản lý hệ thống việc sử dụng và tiêu thụ năng lượng. Để quản lý thực hiện cụ thể, chúng tôi nâng cao hiệu quả tài nguyên toàn doanh nghiệp và tăng cường năng lực ứng phó với biến đổi khí hậu bằng cách quản lý lượng năng lượng tiết kiệm được, số tiền cắt giảm chi phí và hiệu quả giảm phát thải khí nhà kính. Thông qua các hoạt động quản lý năng lượng hệ thống và tối ưu hóa sử dụng này, chúng tôi giảm phát thải khí nhà kính và củng cố nền tảng quản lý bền vững.</x:v>
      </x:c>
      <x:c r="E29" s="49" t="str">
        <x:v>Daewoong Pharmaceutical đang thúc đẩy hiện thực hóa trung hòa carbon và giảm thiểu tác động môi trường thông qua việc mở rộng sử dụng nguyên liệu thân thiện với môi trường, giảm phát thải khí nhà kính, ngăn ngừa ô nhiễm và thúc đẩy các hoạt động tuần hoàn tài nguyên. Để đạt được điều này, công ty giảm thiểu tác động môi trường trong toàn bộ quy trình sản phẩm thông qua đổi mới công nghệ thân thiện với môi trường và cải tiến quy trình, đồng thời liên tục thúc đẩy nâng cao hiệu quả năng lượng thông qua quản lý hệ thống việc sử dụng và tiêu thụ năng lượng, áp dụng thiết bị hiệu suất cao và tối ưu hóa vận hành quy trình.</x:v>
      </x:c>
      <x:c r="F29" s="50" t="n">
        <x:f t="shared" si="0"/>
        <x:v>1</x:v>
      </x:c>
      <x:c r="G29" s="50" t="n">
        <x:f t="shared" si="1"/>
        <x:v>1</x:v>
      </x:c>
      <x:c r="H29" s="45" t="n">
        <x:v>688</x:v>
      </x:c>
      <x:c r="I29" s="45" t="n">
        <x:v>205</x:v>
      </x:c>
      <x:c r="J29" s="45" t="n">
        <x:v>8</x:v>
      </x:c>
      <x:c r="K29" s="45" t="n">
        <x:v>2</x:v>
      </x:c>
      <x:c r="L29" s="45" t="n">
        <x:v>85.1</x:v>
      </x:c>
      <x:c r="M29" s="45" t="n">
        <x:v>102</x:v>
      </x:c>
      <x:c r="N29" s="45" t="n">
        <x:v>0.279</x:v>
      </x:c>
      <x:c r="O29" s="45" t="n">
        <x:v>0.186</x:v>
      </x:c>
      <x:c r="P29" s="45" t="n">
        <x:v>0.9216</x:v>
      </x:c>
      <x:c r="Q29" s="45" t="n">
        <x:v>0.9021</x:v>
      </x:c>
      <x:c r="R29" s="45" t="n">
        <x:v>0.553</x:v>
      </x:c>
      <x:c r="S29" s="45" t="n">
        <x:v>0.543</x:v>
      </x:c>
      <x:c r="T29" s="45" t="n">
        <x:v>1</x:v>
      </x:c>
      <x:c r="U29" s="45" t="n">
        <x:v>0.4</x:v>
      </x:c>
      <x:c r="V29" s="45" t="n">
        <x:v>13.08</x:v>
      </x:c>
      <x:c r="W29" s="45" t="n">
        <x:v>14.63</x:v>
      </x:c>
      <x:c r="X29" s="45" t="n">
        <x:v>0</x:v>
      </x:c>
      <x:c r="Y29" s="45" t="n">
        <x:v>0</x:v>
      </x:c>
      <x:c r="Z29" s="45" t="n">
        <x:v>0</x:v>
      </x:c>
      <x:c r="AA29" s="45" t="n">
        <x:v>0</x:v>
      </x:c>
      <x:c r="AB29" s="50" t="str">
        <x:f t="shared" si="2"/>
        <x:v>V2</x:v>
      </x:c>
      <x:c r="AC29" s="50" t="str">
        <x:f t="shared" si="3"/>
        <x:v>V2</x:v>
      </x:c>
      <x:c r="AD29" s="47" t="str">
        <x:v>Answer: passed / Consumer Decision: answered_partial / QA Grade: partial / Publication: review_required / Publication Reason: missing_expected_facets / Coverage: missing_expected_facets / RAG Coverage: insufficient / Answerable: False / Evidence: insufficient</x:v>
      </x:c>
    </x:row>
    <x:row r="30" ht="42" customHeight="1">
      <x:c r="A30" s="45" t="str">
        <x:v>EBX-Q-029</x:v>
      </x:c>
      <x:c r="B30" s="46" t="str">
        <x:v>Môi trường / Quản trị (Governance) / Tổ chức và hệ thống quản lý ứng phó biến đổi khí hậu</x:v>
      </x:c>
      <x:c r="C30" s="46" t="str">
        <x:v>Hành động vì khí hậu / Tổ chức và hệ thống quản lý ứng phó biến đổi khí hậu</x:v>
      </x:c>
      <x:c r="D30" s="48" t="str">
        <x:v>Daewoong Pharmaceutical vận hành hệ thống quản trị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cũng như các vấn đề quản trị bền vững chính như biến đổi khí hậu và phát thải carbon. Đồng thời, Ủy ban Quản lý EHS Tập đoàn Daewoong thiết lập các chính sách, mục tiêu và nhiệm vụ thực hiện trong lĩnh vực Môi trường, An toàn và Sức khỏe (EHS), đồng thời quản lý hệ thống ứng phó biến đổi khí hậu bằng cách kiểm tra tình trạng thực hiện các nội dung này.</x:v>
      </x:c>
      <x:c r="E30" s="49" t="str">
        <x:v>Theo tài liệu đề xuất đang được xem xét, Ủy ban ESG đóng vai trò xem xét và thẩm định chiến lược ESG toàn công ty cùng các vấn đề quản trị bền vững chính như biến đổi khí hậu và phát thải carbon. Ngoài ra, Ủy ban Quản lý EHS Tập đoàn Daewoong đang thiết lập các chính sách, mục tiêu, nhiệm vụ thực hiện trong lĩnh vực Môi trường, An toàn và Sức khỏe (EHS) và kiểm tra tình trạng thực hiện.</x:v>
      </x:c>
      <x:c r="F30" s="50" t="n">
        <x:f t="shared" si="0"/>
        <x:v>1</x:v>
      </x:c>
      <x:c r="G30" s="50" t="n">
        <x:f t="shared" si="1"/>
        <x:v>1</x:v>
      </x:c>
      <x:c r="H30" s="45" t="n">
        <x:v>265</x:v>
      </x:c>
      <x:c r="I30" s="45" t="n">
        <x:v>156</x:v>
      </x:c>
      <x:c r="J30" s="45" t="n">
        <x:v>3</x:v>
      </x:c>
      <x:c r="K30" s="45" t="n">
        <x:v>2</x:v>
      </x:c>
      <x:c r="L30" s="45" t="n">
        <x:v>87.7</x:v>
      </x:c>
      <x:c r="M30" s="45" t="n">
        <x:v>77.5</x:v>
      </x:c>
      <x:c r="N30" s="45" t="n">
        <x:v>0.173</x:v>
      </x:c>
      <x:c r="O30" s="45" t="n">
        <x:v>0.032</x:v>
      </x:c>
      <x:c r="P30" s="45" t="n">
        <x:v>0.9105</x:v>
      </x:c>
      <x:c r="Q30" s="45" t="n">
        <x:v>0.9459</x:v>
      </x:c>
      <x:c r="R30" s="45" t="n">
        <x:v>0.718</x:v>
      </x:c>
      <x:c r="S30" s="45" t="n">
        <x:v>0.685</x:v>
      </x:c>
      <x:c r="T30" s="45" t="n">
        <x:v>0.8</x:v>
      </x:c>
      <x:c r="U30" s="45" t="n">
        <x:v>0.2</x:v>
      </x:c>
      <x:c r="V30" s="45" t="n">
        <x:v>3.77</x:v>
      </x:c>
      <x:c r="W30" s="45" t="n">
        <x:v>0</x:v>
      </x:c>
      <x:c r="X30" s="45" t="n">
        <x:v>0</x:v>
      </x:c>
      <x:c r="Y30" s="45" t="n">
        <x:v>0</x:v>
      </x:c>
      <x:c r="Z30" s="45" t="n">
        <x:v>1</x:v>
      </x:c>
      <x:c r="AA30" s="45" t="n">
        <x:v>0</x:v>
      </x:c>
      <x:c r="AB30" s="50" t="str">
        <x:f t="shared" si="2"/>
        <x:v>V2</x:v>
      </x:c>
      <x:c r="AC30" s="50" t="str">
        <x:f t="shared" si="3"/>
        <x:v>V2</x:v>
      </x:c>
      <x:c r="AD30" s="47" t="str">
        <x:v>Answer: passed / Consumer Decision: answered_partial / QA Grade: cautious / Publication: review_required / Publication Reason: draft_evidence / Coverage: draft_evidence / RAG Coverage: insufficient / Answerable: False / Evidence: insufficient</x:v>
      </x:c>
    </x:row>
    <x:row r="31" ht="42" customHeight="1">
      <x:c r="A31" s="45" t="str">
        <x:v>EBX-Q-030</x:v>
      </x:c>
      <x:c r="B31" s="46" t="str">
        <x:v>Môi trường / Quản trị rủi ro (Risk Management) / Quản lý rủi ro và cơ hội khí hậu</x:v>
      </x:c>
      <x:c r="C31" s="46" t="str">
        <x:v>Hành động vì khí hậu / Quản lý rủi ro và cơ hội khí hậu</x:v>
      </x:c>
      <x:c r="D31" s="48" t="str">
        <x:v>Chúng tôi phân loại các yếu tố rủi ro và cơ hội khí hậu thành rủi ro vật lý (cấp tính, mãn tính), rủi ro chuyển đổi (chính sách và pháp luật, công nghệ, thị trường, danh tiếng) và cơ hội (hiệu quả tài nguyên, nguồn năng lượng, sản phẩm dịch vụ, thị trường, khả năng phục hồi). Chúng tôi xem xét tác động của từng yếu tố đối với hoạt động kinh doanh và chuỗi giá trị để vận hành kết nối giữa hướng ứng phó và các chỉ số quản lý. Đặc biệt, chúng tôi xác định các rủi ro chuyển đổi chính bao gồm quản lý lượng phát thải khí nhà kính, đạt được kết quả giảm phát thải, cải thiện hiệu suất năng lượng và gia tăng gánh nặng đầu tư để triển khai thiết bị năng lượng tái tạo do yêu cầu về công bố và kết quả ứng phó khí hậu ngày càng tăng. Để tăng cường khả năng thực thi ứng phó rủi ro, chúng tôi liên tục theo dõi lượng phát thải, mức sử dụng năng lượng, mức độ kiểm chứng và tình trạng thiệt hại đối với các yếu tố chính như quy định môi trường, giá carbon, yêu cầu công bố, cùng với thời tiết cực đoan và sự gia tăng nhiệt độ trung bình. Đồng thời, chúng tôi tập trung vào việc tạo ra các cơ hội kinh doanh thông qua ứng phó với biến đổi khí hậu. Chúng tôi đang mở rộng thị trường dược phẩm carbon thấp để đáp ứng nhu cầu ngày càng tăng của khách hàng và mua sắm công đối với bao bì thân thiện với môi trường, sản xuất carbon thấp và các sản phẩm giảm thiểu tác động môi trường. Đồng thời, chúng tôi giảm thiểu rủi ro gián đoạn cung ứng do các yếu tố khí hậu và địa chính trị, đồng thời tăng cường khả năng phục hồi của doanh nghiệp thông qua việc đa dạng hóa nguồn cung nguyên liệu, đảm bảo cơ sở sản xuất dự phòng và nguồn cung kép.</x:v>
      </x:c>
      <x:c r="E31" s="49" t="str">
        <x:v>Chúng tôi đang tăng cường khả năng thực thi ứng phó rủi ro khí hậu bằng cách theo dõi lượng phát thải, mức sử dụng năng lượng, mức độ kiểm chứng và tình trạng thiệt hại đối với các yếu tố chính như quy định môi trường, giá carbon, yêu cầu công bố, thời tiết cực đoan và sự gia tăng nhiệt độ trung bình.</x:v>
      </x:c>
      <x:c r="F31" s="50" t="n">
        <x:f t="shared" si="0"/>
        <x:v>1</x:v>
      </x:c>
      <x:c r="G31" s="50" t="n">
        <x:f t="shared" si="1"/>
        <x:v>1</x:v>
      </x:c>
      <x:c r="H31" s="45" t="n">
        <x:v>594</x:v>
      </x:c>
      <x:c r="I31" s="45" t="n">
        <x:v>107</x:v>
      </x:c>
      <x:c r="J31" s="45" t="n">
        <x:v>5</x:v>
      </x:c>
      <x:c r="K31" s="45" t="n">
        <x:v>1</x:v>
      </x:c>
      <x:c r="L31" s="45" t="n">
        <x:v>118</x:v>
      </x:c>
      <x:c r="M31" s="45" t="n">
        <x:v>107</x:v>
      </x:c>
      <x:c r="N31" s="45" t="n">
        <x:v>0.401</x:v>
      </x:c>
      <x:c r="O31" s="45" t="n">
        <x:v>0</x:v>
      </x:c>
      <x:c r="P31" s="45" t="n">
        <x:v>0.9385</x:v>
      </x:c>
      <x:c r="Q31" s="45" t="n">
        <x:v>1</x:v>
      </x:c>
      <x:c r="R31" s="45" t="n">
        <x:v>0.576</x:v>
      </x:c>
      <x:c r="S31" s="45" t="n">
        <x:v>0</x:v>
      </x:c>
      <x:c r="T31" s="45" t="n">
        <x:v>1</x:v>
      </x:c>
      <x:c r="U31" s="45" t="n">
        <x:v>0.5</x:v>
      </x:c>
      <x:c r="V31" s="45" t="n">
        <x:v>5.05</x:v>
      </x:c>
      <x:c r="W31" s="45" t="n">
        <x:v>9.35</x:v>
      </x:c>
      <x:c r="X31" s="45" t="n">
        <x:v>0</x:v>
      </x:c>
      <x:c r="Y31" s="45" t="n">
        <x:v>0</x:v>
      </x:c>
      <x:c r="Z31" s="45" t="n">
        <x:v>0</x:v>
      </x:c>
      <x:c r="AA31" s="45" t="n">
        <x:v>0</x:v>
      </x:c>
      <x:c r="AB31" s="50" t="str">
        <x:f t="shared" si="2"/>
        <x:v>V2</x:v>
      </x:c>
      <x:c r="AC31" s="50" t="str">
        <x:f t="shared" si="3"/>
        <x:v>V2</x:v>
      </x:c>
      <x:c r="AD31" s="47" t="str">
        <x:v>Answer: passed / Consumer Decision: answered_partial / QA Grade: partial / Publication: review_required / Publication Reason: missing_expected_facets / Coverage: missing_expected_facets / RAG Coverage: partial / Answerable: True / Evidence: thin_but_usable</x:v>
      </x:c>
    </x:row>
    <x:row r="32" ht="42" customHeight="1">
      <x:c r="A32" s="45" t="str">
        <x:v>EBX-Q-031</x:v>
      </x:c>
      <x:c r="B32" s="46" t="str">
        <x:v>Môi trường / Chỉ số (Metrics) / Hiện trạng phát thải khí nhà kính và sử dụng năng lượng</x:v>
      </x:c>
      <x:c r="C32" s="46" t="str">
        <x:v>Hành động vì khí hậu / Hiện trạng phát thải khí nhà kính và sử dụng năng lượng</x:v>
      </x:c>
      <x:c r="D32" s="48" t="str">
        <x:v>Daewoong Pharmaceutical đang tăng cường năng lực ứng phó với biến đổi khí hậu bằng cách nâng cao hiệu quả sử dụng năng lượng tại nơi làm việc và quản lý hệ thống phát thải khí nhà kính. Tính đến năm 2025, tổng lượng phát thải khí nhà kính (Scope 1+2) ghi nhận là 44,144.431tCO2e, trong đó phát thải trực tiếp (Scope 1) như LNG là 12,771.822tCO2e và phát thải gián tiếp (Scope 2) do sử dụng điện năng là 31,372.609tCO2e. Về hiện trạng sử dụng năng lượng, tổng lượng năng lượng sử dụng năm 2025 là 916,158.011GJ, cho thấy xu hướng tăng so với năm trước. Chi tiết hơn, điện năng (năng lượng gián tiếp) chiếm tỷ trọng lớn nhất với 664,073.68GJ, lượng LNG sử dụng (năng lượng trực tiếp) là 251,731.763GJ và dầu diesel là 352.568GJ. Cường độ sử dụng năng lượng trên doanh thu được quản lý ở mức 65.863GJ/100 triệu won. Công ty đang thúc đẩy giảm phát thải carbon thực tế thông qua các hoạt động cắt giảm nhằm cải thiện hiệu quả năng lượng. Tính đến năm 2025, lượng năng lượng tiết kiệm được đạt 38,352.29GJ, qua đó xác nhận lượng giảm phát thải carbon là 1,908.486tCO2e. Đặc biệt, tại nhà máy Hyangnam, công ty đã đạt được thành quả trong việc giảm tiêu thụ năng lượng và hạ thấp lượng phát thải thông qua tối ưu hóa thiết bị như cải thiện cơ sở phòng chống ô nhiễm không khí và bảo trì máy làm mềm nước nhiệt độ cao.</x:v>
      </x:c>
      <x:c r="E32" s="49"/>
      <x:c r="F32" s="50" t="n">
        <x:f t="shared" si="0"/>
        <x:v>1</x:v>
      </x:c>
      <x:c r="G32" s="50" t="n">
        <x:f t="shared" si="1"/>
        <x:v>0</x:v>
      </x:c>
      <x:c r="H32" s="45" t="n">
        <x:v>653</x:v>
      </x:c>
      <x:c r="I32" s="45" t="n">
        <x:v>0</x:v>
      </x:c>
      <x:c r="J32" s="45" t="n">
        <x:v>8</x:v>
      </x:c>
      <x:c r="K32" s="45" t="n">
        <x:v>0</x:v>
      </x:c>
      <x:c r="L32" s="45" t="n">
        <x:v>80.8</x:v>
      </x:c>
      <x:c r="M32" s="45" t="n">
        <x:v>0</x:v>
      </x:c>
      <x:c r="N32" s="45" t="n">
        <x:v>0.409</x:v>
      </x:c>
      <x:c r="O32" s="45" t="n">
        <x:v>0</x:v>
      </x:c>
      <x:c r="P32" s="45" t="n">
        <x:v>0.9224</x:v>
      </x:c>
      <x:c r="Q32" s="45" t="n">
        <x:v>0</x:v>
      </x:c>
      <x:c r="R32" s="45" t="n">
        <x:v>0.209</x:v>
      </x:c>
      <x:c r="S32" s="45" t="n">
        <x:v>0</x:v>
      </x:c>
      <x:c r="T32" s="45" t="n">
        <x:v>1</x:v>
      </x:c>
      <x:c r="U32" s="45" t="n">
        <x:v>0</x:v>
      </x:c>
      <x:c r="V32" s="45" t="n">
        <x:v>4.59</x:v>
      </x:c>
      <x:c r="W32" s="45" t="n">
        <x:v>0</x:v>
      </x:c>
      <x:c r="X32" s="45" t="n">
        <x:v>95</x:v>
      </x:c>
      <x:c r="Y32" s="45" t="n">
        <x:v>0</x:v>
      </x:c>
      <x:c r="Z32" s="45" t="n">
        <x:v>0</x:v>
      </x:c>
      <x:c r="AA32" s="45" t="n">
        <x:v>0</x:v>
      </x:c>
      <x:c r="AB32" s="50" t="str">
        <x:f t="shared" si="2"/>
        <x:v>Không thể so sánh</x:v>
      </x:c>
      <x:c r="AC32" s="50" t="str">
        <x:f t="shared" si="3"/>
        <x:v>Không thể so sánh</x:v>
      </x:c>
      <x:c r="AD32" s="47" t="str">
        <x:v>Answer: failed / Consumer Decision: blocked_qa / QA Grade: failed / Publication: blocked / Publication Reason: qa_not_passed / Coverage: writer_empty / RAG Coverage: complete / Answerable: True / Evidence: high_confidence</x:v>
      </x:c>
    </x:row>
    <x:row r="33" ht="42" customHeight="1">
      <x:c r="A33" s="45" t="str">
        <x:v>EBX-Q-032</x:v>
      </x:c>
      <x:c r="B33" s="46" t="str">
        <x:v>Môi trường / Chiến lược (Strategy) / Chính sách quản lý chất thải và tuần hoàn tài nguyên</x:v>
      </x:c>
      <x:c r="C33" s="46" t="str">
        <x:v>Tuần hoàn tài nguyên / Chính sách quản lý chất thải và tuần hoàn tài nguyên</x:v>
      </x:c>
      <x:c r="D33" s="48" t="str">
        <x:v>Daewoong Pharmaceutical đang liên tục thúc đẩy các hoạt động giảm thiểu và quản lý chất thải với mục tiêu tối thiểu hóa tác động môi trường và mở rộng tuần hoàn tài nguyên. Chất thải phát sinh tại nơi làm việc được phân loại và quản lý thành chất thải thông thường và chất thải nguy hại (được chỉ định), đặc biệt là các chất thải nguy hại có khả năng gây ô nhiễm môi trường cao được xử lý đúng pháp luật theo các quy định liên quan và quy định nội bộ. Để nâng cao tính tuần hoàn của tài nguyên, khi xử lý chất thải có thể tái chế, công ty ưu tiên lựa chọn các đơn vị chuyên tái chế nhằm tối thiểu hóa tác động môi trường đối với cộng đồng địa phương. Đặc biệt, công ty đã nâng cao tỷ lệ thu hồi tài nguyên bằng cách chuyển đổi phương pháp xử lý nhựa tổng hợp phế thải từ thiêu hủy sang tái chế nhiệt (nhiên liệu hóa), và đang mở rộng áp dụng phương pháp này cho toàn bộ các công ty trong tập đoàn. Như một phần của các nhiệm vụ thực thi, Viện Nghiên cứu Khoa học Sự sống đã thay thế bộ lọc máy điều hòa không khí từ loại thông thường sang loại có thể nạp lại, giúp tái sử dụng khung lọc, từ đó giảm chi phí mua sắm và giảm lượng chất thải phát sinh. Mặc dù lượng chất thải có xu hướng tăng theo sự mở rộng quy mô kinh doanh, Daewoong Pharmaceutical vẫn đóng góp vào việc hiện thực hóa nền kinh tế tuần hoàn bằng cách liên tục cải thiện tỷ lệ tái chế chất thải tổng thể thông qua việc mở rộng lượng tái chế với mức độ lớn hơn.</x:v>
      </x:c>
      <x:c r="E33" s="49" t="str">
        <x:v>Daewoong Pharmaceutical và các công ty đối tác đang nỗ lực giảm thiểu tận gốc lượng sử dụng tài nguyên, năng lượng và lượng phát thải chất thải thông qua cải tiến quy trình, tìm kiếm các yếu tố thân thiện với môi trường, thay thế nguyên liệu, tái chế và tái sử dụng.</x:v>
      </x:c>
      <x:c r="F33" s="50" t="n">
        <x:f t="shared" si="0"/>
        <x:v>1</x:v>
      </x:c>
      <x:c r="G33" s="50" t="n">
        <x:f t="shared" si="1"/>
        <x:v>1</x:v>
      </x:c>
      <x:c r="H33" s="45" t="n">
        <x:v>543</x:v>
      </x:c>
      <x:c r="I33" s="45" t="n">
        <x:v>97</x:v>
      </x:c>
      <x:c r="J33" s="45" t="n">
        <x:v>6</x:v>
      </x:c>
      <x:c r="K33" s="45" t="n">
        <x:v>1</x:v>
      </x:c>
      <x:c r="L33" s="45" t="n">
        <x:v>89.7</x:v>
      </x:c>
      <x:c r="M33" s="45" t="n">
        <x:v>97</x:v>
      </x:c>
      <x:c r="N33" s="45" t="n">
        <x:v>0.18</x:v>
      </x:c>
      <x:c r="O33" s="45" t="n">
        <x:v>0</x:v>
      </x:c>
      <x:c r="P33" s="45" t="n">
        <x:v>0.9387</x:v>
      </x:c>
      <x:c r="Q33" s="45" t="n">
        <x:v>0.9583</x:v>
      </x:c>
      <x:c r="R33" s="45" t="n">
        <x:v>0.639</x:v>
      </x:c>
      <x:c r="S33" s="45" t="n">
        <x:v>0.731</x:v>
      </x:c>
      <x:c r="T33" s="45" t="n">
        <x:v>0.75</x:v>
      </x:c>
      <x:c r="U33" s="45" t="n">
        <x:v>0.25</x:v>
      </x:c>
      <x:c r="V33" s="45" t="n">
        <x:v>5.52</x:v>
      </x:c>
      <x:c r="W33" s="45" t="n">
        <x:v>10.31</x:v>
      </x:c>
      <x:c r="X33" s="45" t="n">
        <x:v>0</x:v>
      </x:c>
      <x:c r="Y33" s="45" t="n">
        <x:v>0</x:v>
      </x:c>
      <x:c r="Z33" s="45" t="n">
        <x:v>0</x:v>
      </x:c>
      <x:c r="AA33" s="45" t="n">
        <x:v>0</x:v>
      </x:c>
      <x:c r="AB33" s="50" t="str">
        <x:f t="shared" si="2"/>
        <x:v>V3</x:v>
      </x:c>
      <x:c r="AC33" s="50" t="str">
        <x:f t="shared" si="3"/>
        <x:v>V2</x:v>
      </x:c>
      <x:c r="AD33" s="47" t="str">
        <x:v>Answer: passed / Consumer Decision: answered_partial / QA Grade: partial / Publication: review_required / Publication Reason: missing_expected_facets / Coverage: missing_expected_facets / RAG Coverage: insufficient / Answerable: False / Evidence: insufficient</x:v>
      </x:c>
    </x:row>
    <x:row r="34" ht="42" customHeight="1">
      <x:c r="A34" s="45" t="str">
        <x:v>EBX-Q-033</x:v>
      </x:c>
      <x:c r="B34" s="46" t="str">
        <x:v>Môi trường / Quản trị (Governance) / Tổ chức và hệ thống quản lý tuần hoàn tài nguyên</x:v>
      </x:c>
      <x:c r="C34" s="46" t="str">
        <x:v>Tuần hoàn tài nguyên / Tổ chức và hệ thống quản lý tuần hoàn tài nguyên</x:v>
      </x:c>
      <x:c r="D34" s="48"/>
      <x:c r="E34" s="49" t="str">
        <x:v>Theo tài liệu đề xuất đang được xem xét, đối với các loại chất thải có thể tái chế, chúng tôi ưu tiên lựa chọn các đơn vị chuyên xử lý tái chế để nâng cao tính tuần hoàn của tài nguyên và giảm thiểu tác động môi trường đến cộng đồng địa phương. Chất thải phát sinh tại nơi làm việc được phân loại và quản lý thành chất thải thông thường và chất thải nguy hại (được chỉ định), trong đó các chất thải nguy hại có khả năng gây ô nhiễm môi trường cao được xử lý đúng pháp luật theo các quy định liên quan và quy chế nội bộ. Kết quả là, mặc dù lượng chất thải phát sinh của Tập đoàn Daewoong và Daewoong Pharmaceutical tăng lên do mở rộng kinh doanh, nhưng lượng tái chế tăng với mức độ lớn hơn, giúp tỷ lệ tái chế chất thải tổng thể liên tục được cải thiện.</x:v>
      </x:c>
      <x:c r="F34" s="50" t="n">
        <x:f t="shared" ref="F34:F65" si="4">IF(LEN(D34)&gt;0,1,0)</x:f>
        <x:v>0</x:v>
      </x:c>
      <x:c r="G34" s="50" t="n">
        <x:f t="shared" ref="G34:G65" si="5">IF(LEN(E34)&gt;0,1,0)</x:f>
        <x:v>1</x:v>
      </x:c>
      <x:c r="H34" s="45" t="n">
        <x:v>0</x:v>
      </x:c>
      <x:c r="I34" s="45" t="n">
        <x:v>284</x:v>
      </x:c>
      <x:c r="J34" s="45" t="n">
        <x:v>0</x:v>
      </x:c>
      <x:c r="K34" s="45" t="n">
        <x:v>3</x:v>
      </x:c>
      <x:c r="L34" s="45" t="n">
        <x:v>0</x:v>
      </x:c>
      <x:c r="M34" s="45" t="n">
        <x:v>94</x:v>
      </x:c>
      <x:c r="N34" s="45" t="n">
        <x:v>0</x:v>
      </x:c>
      <x:c r="O34" s="45" t="n">
        <x:v>0.083</x:v>
      </x:c>
      <x:c r="P34" s="45" t="n">
        <x:v>0</x:v>
      </x:c>
      <x:c r="Q34" s="45" t="n">
        <x:v>0.947</x:v>
      </x:c>
      <x:c r="R34" s="45" t="n">
        <x:v>0</x:v>
      </x:c>
      <x:c r="S34" s="45" t="n">
        <x:v>0.956</x:v>
      </x:c>
      <x:c r="T34" s="45" t="n">
        <x:v>0</x:v>
      </x:c>
      <x:c r="U34" s="45" t="n">
        <x:v>0.5</x:v>
      </x:c>
      <x:c r="V34" s="45" t="n">
        <x:v>0</x:v>
      </x:c>
      <x:c r="W34" s="45" t="n">
        <x:v>3.52</x:v>
      </x:c>
      <x:c r="X34" s="45" t="n">
        <x:v>0</x:v>
      </x:c>
      <x:c r="Y34" s="45" t="n">
        <x:v>0</x:v>
      </x:c>
      <x:c r="Z34" s="45" t="n">
        <x:v>1</x:v>
      </x:c>
      <x:c r="AA34" s="45" t="n">
        <x:v>0</x:v>
      </x:c>
      <x:c r="AB34" s="50" t="str">
        <x:f t="shared" ref="AB34:AB65" si="6">IF(AND($F34=1,$G34=1),IF(R34&gt;S34,"V2",IF(S34&gt;R34,"V3","동률")),"비교불가")</x:f>
        <x:v>Không thể so sánh</x:v>
      </x:c>
      <x:c r="AC34" s="50" t="str">
        <x:f t="shared" ref="AC34:AC65" si="7">IF(AND($F34=1,$G34=1),IF(T34&gt;U34,"V2",IF(U34&gt;T34,"V3","동률")),"비교불가")</x:f>
        <x:v>Không thể so sánh</x:v>
      </x:c>
      <x:c r="AD34" s="47" t="str">
        <x:v>Answer: passed / Consumer Decision: answered_partial / QA Grade: cautious / Publication: review_required / Publication Reason: draft_evidence / Coverage: draft_evidence / RAG Coverage: insufficient / Answerable: False / Evidence: insufficient</x:v>
      </x:c>
    </x:row>
    <x:row r="35" ht="42" customHeight="1">
      <x:c r="A35" s="45" t="str">
        <x:v>EBX-Q-034</x:v>
      </x:c>
      <x:c r="B35" s="46" t="str">
        <x:v>Môi trường / Quản trị rủi ro (Risk Management) / Quản trị rủi ro tài nguyên và chất thải</x:v>
      </x:c>
      <x:c r="C35" s="46" t="str">
        <x:v>Tuần hoàn tài nguyên / Quản trị rủi ro tài nguyên và chất thải</x:v>
      </x:c>
      <x:c r="D35" s="48" t="str">
        <x:v>Daewoong Pharmaceutical đang quản lý một cách hệ thống các rủi ro liên quan đến tài nguyên và chất thải bằng cách định kỳ nhận diện và đánh giá các tác động tiêu cực đến môi trường có thể phát sinh trong toàn bộ quá trình vận hành kinh doanh cũng như sản phẩm và dịch vụ. Đặc biệt, công ty đã thiết lập hệ thống theo dõi liên tục các chính sách và mục tiêu cụ thể, có thể đo lường và khả thi nhằm bảo vệ quyền môi trường, bao gồm quản lý chất thải và tái chế tài nguyên, giảm phát thải carbon, chuyển đổi sang năng lượng tái tạo, quản lý nguồn nước và bảo vệ đa dạng sinh học. Để chủ động phòng ngừa và giảm thiểu rủi ro, chúng tôi nhận diện trước các rủi ro môi trường trong cơ sở kinh doanh và thực hiện các hoạt động cải thiện thực tế, đồng thời xem xét kỹ lưỡng các yếu tố rủi ro và cơ hội về môi trường trong quá trình ra quyết định đầu tư để phản ánh vào hoạt động quản trị. Ngoài ra, chúng tôi ủng hộ phương pháp tiếp cận phòng ngừa đối với các vấn đề môi trường, tập trung vào việc nâng cao hiệu quả tuần hoàn tài nguyên và giảm tải cho môi trường bằng cách thúc đẩy phát triển và phổ biến các công nghệ thân thiện với môi trường. Để tăng cường năng lực quản trị môi trường trong toàn doanh nghiệp, chúng tôi cung cấp các khóa đào tạo định kỳ về môi trường cho toàn thể cán bộ nhân viên nhằm nâng cao nhận thức về quản trị rủi ro. Song song đó, chúng tôi thực hiện trách nhiệm xã hội và giá trị môi trường đồng thời bằng cách thiết lập và vận hành các quy trình đặc biệt và biện pháp bảo vệ nhằm tôn trọng quyền môi trường của các nhóm đối tượng dễ bị tổn thương như trẻ em, người già và người thiểu số.</x:v>
      </x:c>
      <x:c r="E35" s="49" t="str">
        <x:v>Theo tài liệu đánh giá bên ngoài, Daewoong Pharmaceutical định kỳ nhận diện và đánh giá các tác động tiêu cực đến môi trường liên quan đến vận hành kinh doanh, sản phẩm hoặc dịch vụ. Ngoài ra, công ty cũng thiết lập và theo dõi các chính sách và mục tiêu cụ thể, có thể đo lường và khả thi nhằm bảo vệ môi trường và quyền môi trường, bao gồm quản lý chất thải và tái chế tài nguyên.</x:v>
      </x:c>
      <x:c r="F35" s="50" t="n">
        <x:f t="shared" si="4"/>
        <x:v>1</x:v>
      </x:c>
      <x:c r="G35" s="50" t="n">
        <x:f t="shared" si="5"/>
        <x:v>1</x:v>
      </x:c>
      <x:c r="H35" s="45" t="n">
        <x:v>639</x:v>
      </x:c>
      <x:c r="I35" s="45" t="n">
        <x:v>166</x:v>
      </x:c>
      <x:c r="J35" s="45" t="n">
        <x:v>6</x:v>
      </x:c>
      <x:c r="K35" s="45" t="n">
        <x:v>2</x:v>
      </x:c>
      <x:c r="L35" s="45" t="n">
        <x:v>105.7</x:v>
      </x:c>
      <x:c r="M35" s="45" t="n">
        <x:v>82.5</x:v>
      </x:c>
      <x:c r="N35" s="45" t="n">
        <x:v>0.199</x:v>
      </x:c>
      <x:c r="O35" s="45" t="n">
        <x:v>0.115</x:v>
      </x:c>
      <x:c r="P35" s="45" t="n">
        <x:v>0.9444</x:v>
      </x:c>
      <x:c r="Q35" s="45" t="n">
        <x:v>0.9375</x:v>
      </x:c>
      <x:c r="R35" s="45" t="n">
        <x:v>0.348</x:v>
      </x:c>
      <x:c r="S35" s="45" t="n">
        <x:v>0.615</x:v>
      </x:c>
      <x:c r="T35" s="45" t="n">
        <x:v>1</x:v>
      </x:c>
      <x:c r="U35" s="45" t="n">
        <x:v>0.75</x:v>
      </x:c>
      <x:c r="V35" s="45" t="n">
        <x:v>4.69</x:v>
      </x:c>
      <x:c r="W35" s="45" t="n">
        <x:v>0</x:v>
      </x:c>
      <x:c r="X35" s="45" t="n">
        <x:v>0</x:v>
      </x:c>
      <x:c r="Y35" s="45" t="n">
        <x:v>0</x:v>
      </x:c>
      <x:c r="Z35" s="45" t="n">
        <x:v>1</x:v>
      </x:c>
      <x:c r="AA35" s="45" t="n">
        <x:v>0</x:v>
      </x:c>
      <x:c r="AB35" s="50" t="str">
        <x:f t="shared" si="6"/>
        <x:v>V3</x:v>
      </x:c>
      <x:c r="AC35" s="50" t="str">
        <x:f t="shared" si="7"/>
        <x:v>V2</x:v>
      </x:c>
      <x:c r="AD35" s="47" t="str">
        <x:v>Answer: passed / Consumer Decision: answered_partial / QA Grade: cautious / Publication: review_required / Publication Reason: draft_evidence / Coverage: draft_evidence / RAG Coverage: complete / Answerable: True / Evidence: medium_confidence</x:v>
      </x:c>
    </x:row>
    <x:row r="36" ht="42" customHeight="1">
      <x:c r="A36" s="45" t="str">
        <x:v>EBX-Q-035</x:v>
      </x:c>
      <x:c r="B36" s="46" t="str">
        <x:v>Môi trường / Chỉ số (Metrics) / Hiện trạng phát sinh và tái chế chất thải</x:v>
      </x:c>
      <x:c r="C36" s="46" t="str">
        <x:v>Tuần hoàn tài nguyên / Hiện trạng phát sinh và tái chế chất thải</x:v>
      </x:c>
      <x:c r="D36" s="48" t="str">
        <x:v>Daewoong Pharmaceutical đang nâng cao thành quả tuần hoàn tài nguyên thông qua việc liên tục thúc đẩy các hoạt động giảm thiểu và tái chế chất thải. Tính đến năm 2025, lượng tái chế chất thải của Daewoong Pharmaceutical ghi nhận đạt 2.026,154 tấn, bao gồm 749,0 tấn tái chế chất thải thông thường và 803,0 tấn tái chế chất thải nguy hại (chỉ định). Đặc biệt, trên quy mô toàn tập đoàn, công ty đang cải thiện tỷ lệ tái chế chất thải hàng năm bằng cách triển khai hoạt động chuyển đổi nhựa tổng hợp phế thải từ hình thức thiêu hủy sang tái chế. Để nâng cao độ chính xác trong quản lý tuần hoàn tài nguyên, phạm vi áp dụng báo cáo đang được điều chỉnh và vận hành một cách hệ thống. Từ năm 2022 đến 2023, phạm vi bao gồm Daewoong Pharmaceutical, Daewoong Bio, HanAll Biopharma, Daewoong Infion, v.v., nhưng từ năm 2024, phạm vi áp dụng được thiết lập là các cơ sở kinh doanh trong nước của Daewoong Pharmaceutical và Daewoong Bio để quản lý chính xác hơn hiện trạng phát thải chất thải. Ngoài ra, công ty đã nâng cao phương pháp tính toán dữ liệu để đảm bảo độ tin cậy của chỉ số, chẳng hạn như thay đổi dữ liệu từ căn cứ theo tháng yêu cầu trên hóa đơn sang căn cứ theo thời gian sử dụng thực tế khi thống kê năm 2022, và áp dụng bổ sung lượng phát sinh do tái sử dụng hóa chất. Xét trên góc độ toàn tập đoàn Daewoong, thành quả tuần hoàn tài nguyên cũng đang có xu hướng mở rộng. Tính đến năm 2025, tổng lượng tái chế hợp nhất của tập đoàn đạt 12.016,434586 tấn. Ngay cả trong bối cảnh lượng chất thải phát sinh tăng lên, Daewoong Pharmaceutical vẫn đang tăng cường hệ thống kinh tế tuần hoàn nhằm tối đa hóa hiệu quả tài nguyên và tối thiểu hóa tác động môi trường bằng cách mở rộng lượng tái chế ở mức cao hơn tương đối.</x:v>
      </x:c>
      <x:c r="E36" s="49" t="str">
        <x:v>Tại Viện Nghiên cứu Khoa học Sự sống, chi phí mua sắm và lượng chất thải phát sinh đang được giảm thiểu bằng cách thay thế bộ lọc máy điều hòa không khí sang loại có thể nạp lại để tái sử dụng khung. Ngoài ra, tỷ lệ tái chế chất thải tổng thể đang được cải thiện hàng năm thông qua việc tái chế nhựa tổng hợp phế thải mà trước đây toàn tập đoàn thường thiêu hủy.</x:v>
      </x:c>
      <x:c r="F36" s="50" t="n">
        <x:f t="shared" si="4"/>
        <x:v>1</x:v>
      </x:c>
      <x:c r="G36" s="50" t="n">
        <x:f t="shared" si="5"/>
        <x:v>1</x:v>
      </x:c>
      <x:c r="H36" s="45" t="n">
        <x:v>716</x:v>
      </x:c>
      <x:c r="I36" s="45" t="n">
        <x:v>129</x:v>
      </x:c>
      <x:c r="J36" s="45" t="n">
        <x:v>9</x:v>
      </x:c>
      <x:c r="K36" s="45" t="n">
        <x:v>2</x:v>
      </x:c>
      <x:c r="L36" s="45" t="n">
        <x:v>78.7</x:v>
      </x:c>
      <x:c r="M36" s="45" t="n">
        <x:v>64</x:v>
      </x:c>
      <x:c r="N36" s="45" t="n">
        <x:v>0.405</x:v>
      </x:c>
      <x:c r="O36" s="45" t="n">
        <x:v>0.094</x:v>
      </x:c>
      <x:c r="P36" s="45" t="n">
        <x:v>0.9682</x:v>
      </x:c>
      <x:c r="Q36" s="45" t="n">
        <x:v>0.92</x:v>
      </x:c>
      <x:c r="R36" s="45" t="n">
        <x:v>0.354</x:v>
      </x:c>
      <x:c r="S36" s="45" t="n">
        <x:v>0.705</x:v>
      </x:c>
      <x:c r="T36" s="45" t="n">
        <x:v>1</x:v>
      </x:c>
      <x:c r="U36" s="45" t="n">
        <x:v>0.75</x:v>
      </x:c>
      <x:c r="V36" s="45" t="n">
        <x:v>8.38</x:v>
      </x:c>
      <x:c r="W36" s="45" t="n">
        <x:v>0</x:v>
      </x:c>
      <x:c r="X36" s="45" t="n">
        <x:v>50</x:v>
      </x:c>
      <x:c r="Y36" s="45" t="n">
        <x:v>0</x:v>
      </x:c>
      <x:c r="Z36" s="45" t="n">
        <x:v>0</x:v>
      </x:c>
      <x:c r="AA36" s="45" t="n">
        <x:v>0</x:v>
      </x:c>
      <x:c r="AB36" s="50" t="str">
        <x:f t="shared" si="6"/>
        <x:v>V3</x:v>
      </x:c>
      <x:c r="AC36" s="50" t="str">
        <x:f t="shared" si="7"/>
        <x:v>V2</x:v>
      </x:c>
      <x:c r="AD36" s="47" t="str">
        <x:v>Answer: passed / Consumer Decision: answered / QA Grade: full / Publication: published / Publication Reason: complete_grounded_answer / Coverage: complete_grounded_answer / RAG Coverage: complete / Answerable: True / Evidence: high_confidence</x:v>
      </x:c>
    </x:row>
    <x:row r="37" ht="42" customHeight="1">
      <x:c r="A37" s="45" t="str">
        <x:v>EBX-Q-036</x:v>
      </x:c>
      <x:c r="B37" s="46" t="str">
        <x:v>Môi trường / Chiến lược (Strategy) / Chính sách và mục tiêu quản lý tài nguyên nước</x:v>
      </x:c>
      <x:c r="C37" s="46" t="str">
        <x:v>Quản lý nước / Chính sách và mục tiêu quản lý tài nguyên nước</x:v>
      </x:c>
      <x:c r="D37" s="48" t="str">
        <x:v>Để hiện thực hóa việc sử dụng tài nguyên nước bền vững, Daewoong Pharmaceutical đã xây dựng và vận hành hệ thống quản lý tài nguyên nước trên toàn doanh nghiệp, bao gồm bảo vệ chất lượng nước, tái sử dụng nước và áp dụng công nghệ tiết kiệm nước. Đặc biệt, thông qua hệ thống giám sát bài bản theo dõi lượng nước sử dụng theo thời gian thực, công ty đang nâng cao hiệu quả sử dụng và quản lý chiến lược tài nguyên nước. Như một phương án thực hiện cụ thể nhằm nâng cao hiệu quả tài nguyên nước và giảm lượng nước sử dụng, công ty đang liên tục thúc đẩy các hoạt động giảm thiểu tác động môi trường như tăng cường vận hành thiết bị tiết kiệm nước trong cơ sở sản xuất và mở rộng phạm vi sử dụng nước tái chế.</x:v>
      </x:c>
      <x:c r="E37" s="49" t="str">
        <x:v>Theo tài liệu đề xuất đang được xem xét, công ty đang quản lý tài nguyên nước một cách hiệu quả thông qua việc giám sát bài bản theo dõi lượng nước sử dụng theo thời gian thực, đồng thời mở rộng vận hành thiết bị tiết kiệm nước và sử dụng nước tái chế để giảm lượng nước tiêu thụ và nâng cao hiệu quả tài nguyên nước.</x:v>
      </x:c>
      <x:c r="F37" s="50" t="n">
        <x:f t="shared" si="4"/>
        <x:v>1</x:v>
      </x:c>
      <x:c r="G37" s="50" t="n">
        <x:f t="shared" si="5"/>
        <x:v>1</x:v>
      </x:c>
      <x:c r="H37" s="45" t="n">
        <x:v>281</x:v>
      </x:c>
      <x:c r="I37" s="45" t="n">
        <x:v>123</x:v>
      </x:c>
      <x:c r="J37" s="45" t="n">
        <x:v>3</x:v>
      </x:c>
      <x:c r="K37" s="45" t="n">
        <x:v>1</x:v>
      </x:c>
      <x:c r="L37" s="45" t="n">
        <x:v>93</x:v>
      </x:c>
      <x:c r="M37" s="45" t="n">
        <x:v>123</x:v>
      </x:c>
      <x:c r="N37" s="45" t="n">
        <x:v>0.15</x:v>
      </x:c>
      <x:c r="O37" s="45" t="n">
        <x:v>0</x:v>
      </x:c>
      <x:c r="P37" s="45" t="n">
        <x:v>0.9121</x:v>
      </x:c>
      <x:c r="Q37" s="45" t="n">
        <x:v>0.9667</x:v>
      </x:c>
      <x:c r="R37" s="45" t="n">
        <x:v>0.426</x:v>
      </x:c>
      <x:c r="S37" s="45" t="n">
        <x:v>0.759</x:v>
      </x:c>
      <x:c r="T37" s="45" t="n">
        <x:v>0.5</x:v>
      </x:c>
      <x:c r="U37" s="45" t="n">
        <x:v>0.5</x:v>
      </x:c>
      <x:c r="V37" s="45" t="n">
        <x:v>14.23</x:v>
      </x:c>
      <x:c r="W37" s="45" t="n">
        <x:v>0</x:v>
      </x:c>
      <x:c r="X37" s="45" t="n">
        <x:v>0</x:v>
      </x:c>
      <x:c r="Y37" s="45" t="n">
        <x:v>0</x:v>
      </x:c>
      <x:c r="Z37" s="45" t="n">
        <x:v>1</x:v>
      </x:c>
      <x:c r="AA37" s="45" t="n">
        <x:v>0</x:v>
      </x:c>
      <x:c r="AB37" s="50" t="str">
        <x:f t="shared" si="6"/>
        <x:v>V3</x:v>
      </x:c>
      <x:c r="AC37" s="50" t="str">
        <x:f t="shared" si="7"/>
        <x:v>Hòa</x:v>
      </x:c>
      <x:c r="AD37" s="47" t="str">
        <x:v>Answer: passed / Consumer Decision: answered_partial / QA Grade: cautious / Publication: review_required / Publication Reason: draft_evidence / Coverage: draft_evidence / RAG Coverage: insufficient / Answerable: False / Evidence: insufficient</x:v>
      </x:c>
    </x:row>
    <x:row r="38" ht="42" customHeight="1">
      <x:c r="A38" s="45" t="str">
        <x:v>EBX-Q-037</x:v>
      </x:c>
      <x:c r="B38" s="46" t="str">
        <x:v>Môi trường / Quản trị (Governance) / Tổ chức và hệ thống quản lý nước</x:v>
      </x:c>
      <x:c r="C38" s="46" t="str">
        <x:v>Quản lý nước / Tổ chức và hệ thống quản lý nước</x:v>
      </x:c>
      <x:c r="D38" s="48"/>
      <x:c r="E38" s="49"/>
      <x:c r="F38" s="50" t="n">
        <x:f t="shared" si="4"/>
        <x:v>0</x:v>
      </x:c>
      <x:c r="G38" s="50" t="n">
        <x:f t="shared" si="5"/>
        <x:v>0</x:v>
      </x:c>
      <x:c r="H38" s="45" t="n">
        <x:v>0</x:v>
      </x:c>
      <x:c r="I38" s="45" t="n">
        <x:v>0</x:v>
      </x:c>
      <x:c r="J38" s="45" t="n">
        <x:v>0</x:v>
      </x:c>
      <x:c r="K38" s="45" t="n">
        <x:v>0</x:v>
      </x:c>
      <x:c r="L38" s="45" t="n">
        <x:v>0</x:v>
      </x:c>
      <x:c r="M38" s="45" t="n">
        <x:v>0</x:v>
      </x:c>
      <x:c r="N38" s="45" t="n">
        <x:v>0</x:v>
      </x:c>
      <x:c r="O38" s="45" t="n">
        <x:v>0</x:v>
      </x:c>
      <x:c r="P38" s="45" t="n">
        <x:v>0</x:v>
      </x:c>
      <x:c r="Q38" s="45" t="n">
        <x:v>0</x:v>
      </x:c>
      <x:c r="R38" s="45" t="n">
        <x:v>0</x:v>
      </x:c>
      <x:c r="S38" s="45" t="n">
        <x:v>0</x:v>
      </x:c>
      <x:c r="T38" s="45" t="n">
        <x:v>0</x:v>
      </x:c>
      <x:c r="U38" s="45" t="n">
        <x:v>0</x:v>
      </x:c>
      <x:c r="V38" s="45" t="n">
        <x:v>0</x:v>
      </x:c>
      <x:c r="W38" s="45" t="n">
        <x:v>0</x:v>
      </x:c>
      <x:c r="X38" s="45" t="n">
        <x:v>0</x:v>
      </x:c>
      <x:c r="Y38" s="45" t="n">
        <x:v>0</x:v>
      </x:c>
      <x:c r="Z38" s="45" t="n">
        <x:v>0</x:v>
      </x:c>
      <x:c r="AA38" s="45" t="n">
        <x:v>0</x:v>
      </x:c>
      <x:c r="AB38" s="50" t="str">
        <x:f t="shared" si="6"/>
        <x:v>Không thể so sánh</x:v>
      </x:c>
      <x:c r="AC38" s="50" t="str">
        <x:f t="shared" si="7"/>
        <x:v>Không thể so sánh</x:v>
      </x:c>
      <x:c r="AD38" s="47" t="str">
        <x:v>Answer: empty / Consumer Decision: blocked_api_status / QA Grade: failed / Publication: blocked / Publication Reason: unaccepted_answer_status / Coverage: empty_evidence / RAG Coverage: no_evidence / Answerable: False / Evidence: no_evidence</x:v>
      </x:c>
    </x:row>
    <x:row r="39" ht="42" customHeight="1">
      <x:c r="A39" s="45" t="str">
        <x:v>EBX-Q-038</x:v>
      </x:c>
      <x:c r="B39" s="46" t="str">
        <x:v>Môi trường / Quản lý rủi ro (Risk Management) / Quản lý rủi ro tài nguyên nước và chất lượng nước</x:v>
      </x:c>
      <x:c r="C39" s="46" t="str">
        <x:v>Quản lý nước / Quản lý rủi ro tài nguyên nước và chất lượng nước</x:v>
      </x:c>
      <x:c r="D39" s="48" t="str">
        <x:v>Daewoong Pharmaceutical đang nhận diện và quản lý một cách hệ thống các rủi ro về tài nguyên nước và chất lượng nước phản ánh đặc thù của ngành dược phẩm và sinh học thông qua việc vận dụng phân tích ENCORE. Kết quả đánh giá sự phụ thuộc vào tự nhiên cho thấy mức độ phụ thuộc vào việc làm sạch nước là rất cao, đặc biệt là sự phụ thuộc vào cung cấp nước và điều tiết dòng chảy cũng được đánh giá ở mức cao. Điều này cho thấy các hoạt động cốt lõi của Daewoong Pharmaceutical như nghiên cứu phát triển (R&amp;D) và quy trình sản xuất có liên kết chặt chẽ với việc cung cấp tài nguyên nước ổn định và tình trạng chất lượng nước tốt. Đồng thời, thông qua đánh giá tác động tự nhiên để phân tích ảnh hưởng của các hoạt động kinh doanh đối với môi trường, kết quả xác nhận rằng không chỉ lượng nước sử dụng mà cả việc phát thải các chất ô nhiễm độc hại và chất dinh dưỡng ra hệ thống nước và đất có thể gây ra tác động ở mức trung bình đối với môi trường. Dựa trên kết quả đánh giá này, Daewoong Pharmaceutical đã thiết lập sự phụ thuộc liên quan đến tài nguyên nước và tài nguyên sinh học là lĩnh vực quản lý trọng tâm. Thông qua đó, công ty có kế hoạch tăng cường hệ thống quản lý để ứng phó chủ động với rủi ro tài nguyên nước và giảm thiểu tác động đến chất lượng nước bằng cách xem xét kỹ lưỡng tình trạng sử dụng nước tại mỗi cơ sở sản xuất và liên tục rà soát các rủi ro vốn tự nhiên có thể phát sinh trong quá trình cung ứng nguyên liệu.</x:v>
      </x:c>
      <x:c r="E39" s="49" t="str">
        <x:v>Theo tài liệu đề xuất đang được xem xét, Daewoong Pharmaceutical đã xác nhận thông qua phân tích ENCORE rằng ngành dược phẩm sinh học có mức độ phụ thuộc cao vào việc làm sạch nước, cung cấp nước và điều tiết dòng chảy, đồng thời lượng nước sử dụng và việc phát thải các chất ô nhiễm dinh dưỡng độc hại ra hệ thống nước có thể gây ra tác động ở mức trung bình. Dựa trên cơ sở này, công ty dự kiến thiết lập sự phụ thuộc liên quan đến tài nguyên nước và tài nguyên sinh học là lĩnh vực quản lý trọng tâm, đồng thời liên tục rà soát các rủi ro vốn tự nhiên có thể phát sinh trong quá trình sử dụng nước tại mỗi cơ sở và cung ứng nguyên liệu.</x:v>
      </x:c>
      <x:c r="F39" s="50" t="n">
        <x:f t="shared" si="4"/>
        <x:v>1</x:v>
      </x:c>
      <x:c r="G39" s="50" t="n">
        <x:f t="shared" si="5"/>
        <x:v>1</x:v>
      </x:c>
      <x:c r="H39" s="45" t="n">
        <x:v>549</x:v>
      </x:c>
      <x:c r="I39" s="45" t="n">
        <x:v>237</x:v>
      </x:c>
      <x:c r="J39" s="45" t="n">
        <x:v>6</x:v>
      </x:c>
      <x:c r="K39" s="45" t="n">
        <x:v>2</x:v>
      </x:c>
      <x:c r="L39" s="45" t="n">
        <x:v>90.7</x:v>
      </x:c>
      <x:c r="M39" s="45" t="n">
        <x:v>118</x:v>
      </x:c>
      <x:c r="N39" s="45" t="n">
        <x:v>0.287</x:v>
      </x:c>
      <x:c r="O39" s="45" t="n">
        <x:v>0.153</x:v>
      </x:c>
      <x:c r="P39" s="45" t="n">
        <x:v>0.9628</x:v>
      </x:c>
      <x:c r="Q39" s="45" t="n">
        <x:v>0.9575</x:v>
      </x:c>
      <x:c r="R39" s="45" t="n">
        <x:v>0.418</x:v>
      </x:c>
      <x:c r="S39" s="45" t="n">
        <x:v>0.712</x:v>
      </x:c>
      <x:c r="T39" s="45" t="n">
        <x:v>1</x:v>
      </x:c>
      <x:c r="U39" s="45" t="n">
        <x:v>1</x:v>
      </x:c>
      <x:c r="V39" s="45" t="n">
        <x:v>5.46</x:v>
      </x:c>
      <x:c r="W39" s="45" t="n">
        <x:v>8.44</x:v>
      </x:c>
      <x:c r="X39" s="45" t="n">
        <x:v>0</x:v>
      </x:c>
      <x:c r="Y39" s="45" t="n">
        <x:v>0</x:v>
      </x:c>
      <x:c r="Z39" s="45" t="n">
        <x:v>1</x:v>
      </x:c>
      <x:c r="AA39" s="45" t="n">
        <x:v>0</x:v>
      </x:c>
      <x:c r="AB39" s="50" t="str">
        <x:f t="shared" si="6"/>
        <x:v>V3</x:v>
      </x:c>
      <x:c r="AC39" s="50" t="str">
        <x:f t="shared" si="7"/>
        <x:v>Đồng hạng</x:v>
      </x:c>
      <x:c r="AD39" s="47" t="str">
        <x:v>Answer: passed / Consumer Decision: answered_partial / QA Grade: cautious / Publication: review_required / Publication Reason: draft_evidence / Coverage: draft_evidence / RAG Coverage: insufficient / Answerable: False / Evidence: insufficient</x:v>
      </x:c>
    </x:row>
    <x:row r="40" ht="42" customHeight="1">
      <x:c r="A40" s="45" t="str">
        <x:v>EBX-Q-039</x:v>
      </x:c>
      <x:c r="B40" s="46" t="str">
        <x:v>Môi trường / Chỉ số (Metrics) / Hiện trạng sử dụng nước và xả thải nước thải</x:v>
      </x:c>
      <x:c r="C40" s="46" t="str">
        <x:v>Quản lý nước / Hiện trạng sử dụng nước và xả thải nước thải</x:v>
      </x:c>
      <x:c r="D40" s="48" t="str">
        <x:v>Daewoong Pharmaceutical đang quản lý một cách hệ thống hiện trạng khai thác và sử dụng nước để nâng cao hiệu quả tài nguyên nước trong các cơ sở kinh doanh. Tính đến năm 2025, tổng lượng nước khai thác của Daewoong Pharmaceutical ghi nhận là 437.102 tấn, chi tiết bao gồm 220.217 tấn nước công nghiệp và 157.598 tấn nước sinh hoạt. Đặc biệt, công ty đang tập trung giảm tải tác động môi trường thông qua tái chế tài nguyên nước bằng cách mở rộng lượng sử dụng nước tái chế từ nước thải lên 59.287 tấn. Tỷ lệ tái sử dụng nước tính đến năm 2025 đạt 0,1356%, cho thấy xu hướng tăng liên tục sau mức 0,0577% năm 2023 và 0,1023% năm 2024. Cường độ sử dụng nước trên doanh thu năm 2025 là 31,42 tấn/100 triệu won, giảm nhẹ so với mức 31,63 tấn/100 triệu won của năm trước, cho thấy thành quả trong quản lý nước hiệu quả. Mặt khác, xét trên toàn tập đoàn Daewoong, tổng lượng nước khai thác năm 2025 đạt 691.602 tấn, bao gồm 459.107 tấn nước công nghiệp, 166.687 tấn nước sinh hoạt, 64.370 tấn nước tái chế từ nước thải và 1.438 tấn nước ngầm. Daewoong Pharmaceutical công khai minh bạch các chỉ số quản lý tài nguyên nước bằng cách áp dụng tiêu chuẩn tính tỷ lệ tái sử dụng bằng cách chia lượng nước tái sử dụng cho tổng lượng nước sử dụng.</x:v>
      </x:c>
      <x:c r="E40" s="51" t="str">
        <x:v>Khi thống kê năm 2022, phương pháp tính toán dữ liệu đã thay đổi từ dựa trên tháng yêu cầu của hóa đơn cước phí sang dựa trên thời gian sử dụng thực tế, dẫn đến sự chênh lệch về lượng sử dụng. Phạm vi áp dụng của báo cáo từ năm 2022 đến 2023 bao gồm Daewoong Pharmaceutical Co., Ltd., Daewoong Bio Co., Ltd., Hanall Biopharma, Daewoong Infion, v.v., nhưng từ năm 2024 đã thay đổi thành các cơ sở kinh doanh trong nước của Daewoong Pharmaceutical Co., Ltd. và Daewoong Bio Co., Ltd.</x:v>
      </x:c>
      <x:c r="F40" s="50" t="n">
        <x:f t="shared" si="4"/>
        <x:v>1</x:v>
      </x:c>
      <x:c r="G40" s="50" t="n">
        <x:f t="shared" si="5"/>
        <x:v>1</x:v>
      </x:c>
      <x:c r="H40" s="45" t="n">
        <x:v>584</x:v>
      </x:c>
      <x:c r="I40" s="45" t="n">
        <x:v>196</x:v>
      </x:c>
      <x:c r="J40" s="45" t="n">
        <x:v>7</x:v>
      </x:c>
      <x:c r="K40" s="45" t="n">
        <x:v>2</x:v>
      </x:c>
      <x:c r="L40" s="45" t="n">
        <x:v>82.6</x:v>
      </x:c>
      <x:c r="M40" s="45" t="n">
        <x:v>97.5</x:v>
      </x:c>
      <x:c r="N40" s="45" t="n">
        <x:v>0.224</x:v>
      </x:c>
      <x:c r="O40" s="45" t="n">
        <x:v>0.251</x:v>
      </x:c>
      <x:c r="P40" s="45" t="n">
        <x:v>0.9261</x:v>
      </x:c>
      <x:c r="Q40" s="45" t="n">
        <x:v>0.8611</x:v>
      </x:c>
      <x:c r="R40" s="45" t="n">
        <x:v>0.193</x:v>
      </x:c>
      <x:c r="S40" s="45" t="n">
        <x:v>0.551</x:v>
      </x:c>
      <x:c r="T40" s="45" t="n">
        <x:v>0.6</x:v>
      </x:c>
      <x:c r="U40" s="45" t="n">
        <x:v>0.2</x:v>
      </x:c>
      <x:c r="V40" s="45" t="n">
        <x:v>1.71</x:v>
      </x:c>
      <x:c r="W40" s="45" t="n">
        <x:v>0</x:v>
      </x:c>
      <x:c r="X40" s="45" t="n">
        <x:v>97</x:v>
      </x:c>
      <x:c r="Y40" s="45" t="n">
        <x:v>16</x:v>
      </x:c>
      <x:c r="Z40" s="45" t="n">
        <x:v>0</x:v>
      </x:c>
      <x:c r="AA40" s="45" t="n">
        <x:v>0</x:v>
      </x:c>
      <x:c r="AB40" s="50" t="str">
        <x:f t="shared" si="6"/>
        <x:v>V3</x:v>
      </x:c>
      <x:c r="AC40" s="50" t="str">
        <x:f t="shared" si="7"/>
        <x:v>V2</x:v>
      </x:c>
      <x:c r="AD40" s="47" t="str">
        <x:v>Answer: passed / Consumer Decision: answered / QA Grade: full / Publication: published / Publication Reason: complete_grounded_answer / Coverage: complete_grounded_answer / RAG Coverage: partial / Answerable: True / Evidence: medium_confidence</x:v>
      </x:c>
    </x:row>
    <x:row r="41" ht="42" customHeight="1">
      <x:c r="A41" s="45" t="str">
        <x:v>EBX-Q-040</x:v>
      </x:c>
      <x:c r="B41" s="46" t="str">
        <x:v>Môi trường / Chiến lược (Strategy) / Chính sách và mục tiêu bảo tồn đa dạng sinh học</x:v>
      </x:c>
      <x:c r="C41" s="46" t="str">
        <x:v>Đa dạng sinh học / Chính sách và mục tiêu bảo tồn đa dạng sinh học</x:v>
      </x:c>
      <x:c r="D41" s="48" t="str">
        <x:v>Daewoong Pharmaceutical nhận thức sâu sắc về tầm quan trọng của việc bảo tồn đa dạng sinh học như một giá trị cốt lõi cho sự tăng trưởng bền vững và bảo vệ môi trường, đồng thời đang thúc đẩy một cách hệ thống các hoạt động quản trị để hiện thực hóa điều này. Về trung và dài hạn, công ty hướng tới vận hành doanh nghiệp không gây tổn hại và mất mát đa dạng sinh học, đồng thời thiết lập mục tiêu chiến lược là giảm thiểu tác động tiêu cực đến vốn tự nhiên và hệ sinh thái trong toàn bộ các hoạt động kinh doanh của doanh nghiệp. Để đạt được mục tiêu này, Daewoong Pharmaceutical đang xây dựng và vận hành một hệ thống quản lý nhằm xem xét kỹ lưỡng các tác động đến đa dạng sinh học trong toàn bộ quá trình vận hành doanh nghiệp và phản ánh thực tế các phương án bảo vệ được đưa ra vào quá trình ra quyết định. Đặc biệt, khi triển khai các hoạt động kinh doanh có khả năng ảnh hưởng trực tiếp đến đa dạng sinh học, chẳng hạn như thành lập cơ sở kinh doanh mới hoặc mở rộng thiết bị hiện có, công ty sẽ xem xét tổng hợp các đặc điểm sinh thái của khu vực lân cận và điều kiện môi trường tự nhiên của cộng đồng địa phương để thiết lập và thực hiện các phương án bảo vệ đa dạng sinh học tối ưu. Ngoài ra, về mặt đối ngoại, công ty tích cực tham gia BNBP - nền tảng về doanh nghiệp và đa dạng sinh học, nhằm chia sẻ các xu hướng chính sách liên quan đến bảo tồn đa dạng sinh học toàn cầu, các tiêu chuẩn quốc tế và các trường hợp điển hình của các doanh nghiệp khác để tăng cường chuyên môn. Thông qua việc tham gia BNBP, Daewoong Pharmaceutical đang liên tục nâng cao mức độ quản lý bằng cách phản ánh một cách hữu cơ các kết quả thảo luận và cơ hội hợp tác đa dạng từ bên ngoài vào hệ thống quản lý vốn tự nhiên nội bộ, và dự kiến sẽ tiếp tục triển khai các hoạt động bảo vệ cân nhắc kỹ lưỡng môi trường sinh thái xung quanh cơ sở kinh doanh để đóng góp vào việc bảo tồn vốn tự nhiên.</x:v>
      </x:c>
      <x:c r="E41" s="49" t="str">
        <x:v>Theo tài liệu đề xuất đang được xem xét, Daewoong Pharmaceutical hướng tới vận hành doanh nghiệp không gây tổn hại và mất mát đa dạng sinh học trong trung và dài hạn, với mục tiêu giảm thiểu tác động đến vốn tự nhiên và hệ sinh thái trong toàn bộ hoạt động kinh doanh. Để đạt được điều này, công ty xem xét các tác động đến đa dạng sinh học trong quá trình vận hành để phản ánh vào việc ra quyết định, đặc biệt là xây dựng các phương án bảo vệ cân nhắc đến đặc điểm môi trường tự nhiên của khu vực lân cận và cộng đồng địa phương khi thành lập cơ sở mới hoặc mở rộng thiết bị hiện có. Ngoài ra, công ty tham gia BNBP - nền tảng về doanh nghiệp và đa dạng sinh học để chia sẻ các xu hướng chính sách và tiêu chuẩn quốc tế, từ đó nâng cao khả năng thực thi các hoạt động bảo tồn đa dạng sinh học và phản ánh điều này vào hệ thống quản lý vốn tự nhiên.</x:v>
      </x:c>
      <x:c r="F41" s="50" t="n">
        <x:f t="shared" si="4"/>
        <x:v>1</x:v>
      </x:c>
      <x:c r="G41" s="50" t="n">
        <x:f t="shared" si="5"/>
        <x:v>1</x:v>
      </x:c>
      <x:c r="H41" s="45" t="n">
        <x:v>746</x:v>
      </x:c>
      <x:c r="I41" s="45" t="n">
        <x:v>326</x:v>
      </x:c>
      <x:c r="J41" s="45" t="n">
        <x:v>6</x:v>
      </x:c>
      <x:c r="K41" s="45" t="n">
        <x:v>3</x:v>
      </x:c>
      <x:c r="L41" s="45" t="n">
        <x:v>123.5</x:v>
      </x:c>
      <x:c r="M41" s="45" t="n">
        <x:v>108</x:v>
      </x:c>
      <x:c r="N41" s="45" t="n">
        <x:v>0.201</x:v>
      </x:c>
      <x:c r="O41" s="45" t="n">
        <x:v>0.068</x:v>
      </x:c>
      <x:c r="P41" s="45" t="n">
        <x:v>0.9476</x:v>
      </x:c>
      <x:c r="Q41" s="45" t="n">
        <x:v>0.9362</x:v>
      </x:c>
      <x:c r="R41" s="45" t="n">
        <x:v>0.389</x:v>
      </x:c>
      <x:c r="S41" s="45" t="n">
        <x:v>0.688</x:v>
      </x:c>
      <x:c r="T41" s="45" t="n">
        <x:v>1</x:v>
      </x:c>
      <x:c r="U41" s="45" t="n">
        <x:v>1</x:v>
      </x:c>
      <x:c r="V41" s="45" t="n">
        <x:v>12.06</x:v>
      </x:c>
      <x:c r="W41" s="45" t="n">
        <x:v>0</x:v>
      </x:c>
      <x:c r="X41" s="45" t="n">
        <x:v>0</x:v>
      </x:c>
      <x:c r="Y41" s="45" t="n">
        <x:v>0</x:v>
      </x:c>
      <x:c r="Z41" s="45" t="n">
        <x:v>1</x:v>
      </x:c>
      <x:c r="AA41" s="45" t="n">
        <x:v>0</x:v>
      </x:c>
      <x:c r="AB41" s="50" t="str">
        <x:f t="shared" si="6"/>
        <x:v>V3</x:v>
      </x:c>
      <x:c r="AC41" s="50" t="str">
        <x:f t="shared" si="7"/>
        <x:v>Ngang bằng</x:v>
      </x:c>
      <x:c r="AD41" s="47" t="str">
        <x:v>Answer: passed / Consumer Decision: answered_partial / QA Grade: cautious / Publication: review_required / Publication Reason: draft_evidence / Coverage: draft_evidence / RAG Coverage: insufficient / Answerable: False / Evidence: insufficient</x:v>
      </x:c>
    </x:row>
    <x:row r="42" ht="42" customHeight="1">
      <x:c r="A42" s="45" t="str">
        <x:v>EBX-Q-041</x:v>
      </x:c>
      <x:c r="B42" s="46" t="str">
        <x:v>Môi trường / Quản trị (Governance) / Tổ chức và hệ thống quản lý đa dạng sinh học</x:v>
      </x:c>
      <x:c r="C42" s="46" t="str">
        <x:v>Đa dạng sinh học / Tổ chức và hệ thống quản lý đa dạng sinh học</x:v>
      </x:c>
      <x:c r="D42" s="52" t="str">
        <x:v>Ủy ban EHS là cơ quan nòng cốt dẫn dắt việc quản lý và ra quyết định về đa dạng sinh học của Daewoong Pharmaceutical, thực hiện xem xét các vấn đề liên quan trong hệ thống quản lý an toàn môi trường toàn công ty. Trong nửa đầu năm, Ủy ban EHS đã báo cáo nội dung thảo luận về chính sách đa dạng sinh học của năm trước lên Hội đồng quản trị để tăng cường sự giám sát của ban điều hành, và trong nửa cuối năm, đã thiết lập kế hoạch hoạt động bảo vệ đa dạng sinh học định kỳ để đảm bảo khả năng thực thi. Ở cấp độ thực thi, mỗi cơ sở kinh doanh thu thập dữ liệu như hiện trạng vốn tự nhiên, kết quả đánh giá đa dạng sinh học và tình hình thực hiện các hoạt động bảo vệ; dựa trên đó, nhóm công tác EHS xem xét sự phụ thuộc, tác động và rủi ro đối với tự nhiên để đưa ra các yêu cầu cải thiện. Thông qua cấu trúc tổ chức này, Daewoong Pharmaceutical đã xây dựng nền tảng quản lý để các chính sách và hoạt động bảo vệ đa dạng sinh học được thảo luận và thực hiện một cách hữu cơ trong hệ thống ra quyết định quản trị.</x:v>
      </x:c>
      <x:c r="E42" s="49" t="str">
        <x:v>Theo tài liệu đề xuất đang được xem xét, Daewoong Pharmaceutical đang xem xét các vấn đề liên quan đến đa dạng sinh học trong hệ thống quản lý an toàn môi trường toàn công ty. Bằng cách báo cáo nội dung thảo luận về chính sách đa dạng sinh học lên Hội đồng quản trị và thiết lập kế hoạch hoạt động bảo vệ đa dạng sinh học định kỳ, Ủy ban EHS đã xây dựng nền tảng quản lý để các chính sách và hoạt động liên quan có thể được thảo luận và thực hiện trong hệ thống ra quyết định quản trị.</x:v>
      </x:c>
      <x:c r="F42" s="50" t="n">
        <x:f t="shared" si="4"/>
        <x:v>1</x:v>
      </x:c>
      <x:c r="G42" s="50" t="n">
        <x:f t="shared" si="5"/>
        <x:v>1</x:v>
      </x:c>
      <x:c r="H42" s="45" t="n">
        <x:v>408</x:v>
      </x:c>
      <x:c r="I42" s="45" t="n">
        <x:v>179</x:v>
      </x:c>
      <x:c r="J42" s="45" t="n">
        <x:v>4</x:v>
      </x:c>
      <x:c r="K42" s="45" t="n">
        <x:v>2</x:v>
      </x:c>
      <x:c r="L42" s="45" t="n">
        <x:v>101.2</x:v>
      </x:c>
      <x:c r="M42" s="45" t="n">
        <x:v>89</x:v>
      </x:c>
      <x:c r="N42" s="45" t="n">
        <x:v>0.199</x:v>
      </x:c>
      <x:c r="O42" s="45" t="n">
        <x:v>0.326</x:v>
      </x:c>
      <x:c r="P42" s="45" t="n">
        <x:v>0.9332</x:v>
      </x:c>
      <x:c r="Q42" s="45" t="n">
        <x:v>0.85</x:v>
      </x:c>
      <x:c r="R42" s="45" t="n">
        <x:v>0.529</x:v>
      </x:c>
      <x:c r="S42" s="45" t="n">
        <x:v>0.659</x:v>
      </x:c>
      <x:c r="T42" s="45" t="n">
        <x:v>1</x:v>
      </x:c>
      <x:c r="U42" s="45" t="n">
        <x:v>0.75</x:v>
      </x:c>
      <x:c r="V42" s="45" t="n">
        <x:v>4.9</x:v>
      </x:c>
      <x:c r="W42" s="45" t="n">
        <x:v>0</x:v>
      </x:c>
      <x:c r="X42" s="45" t="n">
        <x:v>0</x:v>
      </x:c>
      <x:c r="Y42" s="45" t="n">
        <x:v>0</x:v>
      </x:c>
      <x:c r="Z42" s="45" t="n">
        <x:v>1</x:v>
      </x:c>
      <x:c r="AA42" s="45" t="n">
        <x:v>0</x:v>
      </x:c>
      <x:c r="AB42" s="50" t="str">
        <x:f t="shared" si="6"/>
        <x:v>V3</x:v>
      </x:c>
      <x:c r="AC42" s="50" t="str">
        <x:f t="shared" si="7"/>
        <x:v>V2</x:v>
      </x:c>
      <x:c r="AD42" s="47" t="str">
        <x:v>Answer: passed / Consumer Decision: answered_partial / QA Grade: cautious / Publication: review_required / Publication Reason: draft_evidence / Coverage: draft_evidence / RAG Coverage: insufficient / Answerable: False / Evidence: insufficient</x:v>
      </x:c>
    </x:row>
    <x:row r="43" ht="42" customHeight="1">
      <x:c r="A43" s="45" t="str">
        <x:v>EBX-Q-042</x:v>
      </x:c>
      <x:c r="B43" s="46" t="str">
        <x:v>Môi trường / Quản trị rủi ro (Risk Management) / Quản lý rủi ro và tác động đến đa dạng sinh học</x:v>
      </x:c>
      <x:c r="C43" s="46" t="str">
        <x:v>Đa dạng sinh học / Quản lý rủi ro và tác động đến đa dạng sinh học</x:v>
      </x:c>
      <x:c r="D43" s="48" t="str">
        <x:v>Daewoong Pharmaceutical đã thiết lập và vận hành quy trình đánh giá tham chiếu phương pháp tiếp cận LEAP của TNFD để nhận diện một cách hệ thống các rủi ro, tác động và sự phụ thuộc vào vốn tự nhiên và đa dạng sinh học. Xem xét đặc thù của ngành dược phẩm và sinh học, công ty rà soát các điểm tiếp xúc với tự nhiên trong toàn bộ chuỗi giá trị bao gồm R&amp;D, thu mua nguyên liệu, sản xuất, đóng gói, phân phối, sử dụng sản phẩm và xử lý dược phẩm thải bỏ, đặc biệt là xác định ưu tiên quản lý tập trung vào các cơ sở kinh doanh chính trong nước. Để nhận diện và đánh giá rủi ro, quy trình từng bước Locate, Evaluate, Assess, Prepare được áp dụng. Trước hết, dựa trên thông tin vị trí cơ sở, công ty sử dụng IBAT để xác nhận khả năng liên kết với các khu bảo tồn lân cận, khu vực quan trọng về đa dạng sinh học, khu vực phân bố các loài chính và khu vực căng thẳng về nước, đồng thời phân tích các tác động tiềm tàng lên hệ sinh thái xung quanh. Tiếp theo, công ty rà soát sự phụ thuộc và tác động đối với các dịch vụ hệ sinh thái thông qua ENCORE, và thực hiện đánh giá rủi ro dựa trên WWF BRF và WRI Water Risk. Thông qua quá trình phân tích này, các rủi ro tiềm ẩn liên quan đến đa dạng sinh học được nhận diện, từ đó xác định các khu vực và hoạt động cần ưu tiên quản lý. Cuối cùng, bằng cách thiết lập hướng ứng phó và kế hoạch quản lý dựa trên SBTN AR3T Framework, công ty giảm thiểu tác động của các hoạt động kinh doanh đối với vốn tự nhiên và quản lý rủi ro hệ sinh thái một cách hệ thống.</x:v>
      </x:c>
      <x:c r="E43" s="49" t="str">
        <x:v>Theo tài liệu đề xuất đang được xem xét, Daewoong Pharmaceutical đã thiết lập quy trình đánh giá để nhận diện một cách hệ thống các rủi ro, tác động và sự phụ thuộc liên quan đến vốn tự nhiên và đa dạng sinh học bằng cách tham chiếu phương pháp tiếp cận LEAP của TNFD. Công ty rà soát các điểm tiếp xúc với tự nhiên trong toàn bộ chuỗi giá trị như R&amp;D, thu mua nguyên liệu, sản xuất, đóng gói, phân phối, sử dụng sản phẩm và xử lý dược phẩm thải bỏ, đồng thời nhận diện rủi ro tiềm ẩn bằng cách phân tích khả năng liên kết với các khu bảo tồn, khu vực quan trọng về đa dạng sinh học, khu vực phân bố các loài chính và khu vực căng thẳng về nước gần cơ sở kinh doanh thông qua IBAT. Ngoài ra, công ty thực hiện rà soát sự phụ thuộc và tác động đến dịch vụ hệ sinh thái dựa trên ENCORE, đánh giá rủi ro dựa trên WWF BRF và WRI Water Risk, từ đó hệ thống hóa hướng ứng phó và kế hoạch quản lý theo SBTN AR3T Framework dựa trên kết quả phân tích.</x:v>
      </x:c>
      <x:c r="F43" s="50" t="n">
        <x:f t="shared" si="4"/>
        <x:v>1</x:v>
      </x:c>
      <x:c r="G43" s="50" t="n">
        <x:f t="shared" si="5"/>
        <x:v>1</x:v>
      </x:c>
      <x:c r="H43" s="45" t="n">
        <x:v>664</x:v>
      </x:c>
      <x:c r="I43" s="45" t="n">
        <x:v>390</x:v>
      </x:c>
      <x:c r="J43" s="45" t="n">
        <x:v>7</x:v>
      </x:c>
      <x:c r="K43" s="45" t="n">
        <x:v>3</x:v>
      </x:c>
      <x:c r="L43" s="45" t="n">
        <x:v>94</x:v>
      </x:c>
      <x:c r="M43" s="45" t="n">
        <x:v>129.3</x:v>
      </x:c>
      <x:c r="N43" s="45" t="n">
        <x:v>0.231</x:v>
      </x:c>
      <x:c r="O43" s="45" t="n">
        <x:v>0.177</x:v>
      </x:c>
      <x:c r="P43" s="45" t="n">
        <x:v>0.969</x:v>
      </x:c>
      <x:c r="Q43" s="45" t="n">
        <x:v>0.9855</x:v>
      </x:c>
      <x:c r="R43" s="45" t="n">
        <x:v>0.613</x:v>
      </x:c>
      <x:c r="S43" s="45" t="n">
        <x:v>0.729</x:v>
      </x:c>
      <x:c r="T43" s="45" t="n">
        <x:v>1</x:v>
      </x:c>
      <x:c r="U43" s="45" t="n">
        <x:v>1</x:v>
      </x:c>
      <x:c r="V43" s="45" t="n">
        <x:v>4.52</x:v>
      </x:c>
      <x:c r="W43" s="45" t="n">
        <x:v>5.13</x:v>
      </x:c>
      <x:c r="X43" s="45" t="n">
        <x:v>1</x:v>
      </x:c>
      <x:c r="Y43" s="45" t="n">
        <x:v>1</x:v>
      </x:c>
      <x:c r="Z43" s="45" t="n">
        <x:v>1</x:v>
      </x:c>
      <x:c r="AA43" s="45" t="n">
        <x:v>0</x:v>
      </x:c>
      <x:c r="AB43" s="50" t="str">
        <x:f t="shared" si="6"/>
        <x:v>V3</x:v>
      </x:c>
      <x:c r="AC43" s="50" t="str">
        <x:f t="shared" si="7"/>
        <x:v>Hòa</x:v>
      </x:c>
      <x:c r="AD43" s="47" t="str">
        <x:v>Answer: passed / Consumer Decision: answered_partial / QA Grade: cautious / Publication: review_required / Publication Reason: draft_evidence / Coverage: draft_evidence / RAG Coverage: insufficient / Answerable: False / Evidence: insufficient</x:v>
      </x:c>
    </x:row>
    <x:row r="44" ht="42" customHeight="1">
      <x:c r="A44" s="45" t="str">
        <x:v>EBX-Q-043</x:v>
      </x:c>
      <x:c r="B44" s="46" t="str">
        <x:v>Môi trường / Chỉ số (Metrics) / Hiện trạng hoạt động bảo tồn đa dạng sinh học</x:v>
      </x:c>
      <x:c r="C44" s="46" t="str">
        <x:v>Đa dạng sinh học / Hiện trạng hoạt động bảo tồn đa dạng sinh học</x:v>
      </x:c>
      <x:c r="D44" s="48" t="str">
        <x:v>Daewoong Pharmaceutical hướng tới vận hành doanh nghiệp không gây tổn hại và mất mát đa dạng sinh học trong trung và dài hạn, với mục tiêu giảm thiểu tác động đến vốn tự nhiên và hệ sinh thái trong toàn bộ các hoạt động kinh doanh. Để đạt được điều này, công ty xem xét kỹ lưỡng các tác động đến đa dạng sinh học trong quá trình vận hành và phản ánh các phương án bảo vệ được đưa ra vào quy trình ra quyết định thực tế để quản lý. Đặc biệt, khi triển khai các hoạt động kinh doanh có thể ảnh hưởng trực tiếp đến đa dạng sinh học như thành lập cơ sở mới hoặc mở rộng thiết bị hiện có, công ty xây dựng các phương án bảo vệ tối ưu bằng cách xem xét tổng thể đặc điểm môi trường tự nhiên của khu vực lân cận và cộng đồng địa phương. Ngoài ra, công ty tham gia BNBP - nền tảng về doanh nghiệp và đa dạng sinh học để chia sẻ xu hướng chính sách, tiêu chuẩn quốc tế và các điển hình tiên tiến của doanh nghiệp liên quan đến bảo tồn đa dạng sinh học, từ đó xây dựng hệ thống hợp tác đối ngoại. Thông qua việc tham gia BNBP, Daewoong Pharmaceutical kế hoạch phản ánh tích cực các cơ hội hợp tác và thảo luận bên ngoài vào hệ thống quản lý vốn tự nhiên nội bộ, đồng thời tiếp tục thúc đẩy các hoạt động bảo vệ cân nhắc đến môi trường sinh thái xung quanh cơ sở kinh doanh.</x:v>
      </x:c>
      <x:c r="E44" s="51"/>
      <x:c r="F44" s="50" t="n">
        <x:f t="shared" si="4"/>
        <x:v>1</x:v>
      </x:c>
      <x:c r="G44" s="50" t="n">
        <x:f t="shared" si="5"/>
        <x:v>0</x:v>
      </x:c>
      <x:c r="H44" s="45" t="n">
        <x:v>501</x:v>
      </x:c>
      <x:c r="I44" s="45" t="n">
        <x:v>0</x:v>
      </x:c>
      <x:c r="J44" s="45" t="n">
        <x:v>5</x:v>
      </x:c>
      <x:c r="K44" s="45" t="n">
        <x:v>0</x:v>
      </x:c>
      <x:c r="L44" s="45" t="n">
        <x:v>99.4</x:v>
      </x:c>
      <x:c r="M44" s="45" t="n">
        <x:v>0</x:v>
      </x:c>
      <x:c r="N44" s="45" t="n">
        <x:v>0.148</x:v>
      </x:c>
      <x:c r="O44" s="45" t="n">
        <x:v>0</x:v>
      </x:c>
      <x:c r="P44" s="45" t="n">
        <x:v>0.9256</x:v>
      </x:c>
      <x:c r="Q44" s="45" t="n">
        <x:v>0</x:v>
      </x:c>
      <x:c r="R44" s="45" t="n">
        <x:v>0.622</x:v>
      </x:c>
      <x:c r="S44" s="45" t="n">
        <x:v>0</x:v>
      </x:c>
      <x:c r="T44" s="45" t="n">
        <x:v>0.75</x:v>
      </x:c>
      <x:c r="U44" s="45" t="n">
        <x:v>0</x:v>
      </x:c>
      <x:c r="V44" s="45" t="n">
        <x:v>3.99</x:v>
      </x:c>
      <x:c r="W44" s="45" t="n">
        <x:v>0</x:v>
      </x:c>
      <x:c r="X44" s="45" t="n">
        <x:v>0</x:v>
      </x:c>
      <x:c r="Y44" s="45" t="n">
        <x:v>0</x:v>
      </x:c>
      <x:c r="Z44" s="45" t="n">
        <x:v>0</x:v>
      </x:c>
      <x:c r="AA44" s="45" t="n">
        <x:v>0</x:v>
      </x:c>
      <x:c r="AB44" s="50" t="str">
        <x:f t="shared" si="6"/>
        <x:v>Không thể so sánh</x:v>
      </x:c>
      <x:c r="AC44" s="50" t="str">
        <x:f t="shared" si="7"/>
        <x:v>Không thể so sánh</x:v>
      </x:c>
      <x:c r="AD44" s="47" t="str">
        <x:v>Answer: failed / Consumer Decision: blocked_api_status / QA Grade: failed / Publication: blocked / Publication Reason: qa_not_passed / Coverage: writer_empty / RAG Coverage: insufficient / Answerable: False / Evidence: insufficient</x:v>
      </x:c>
    </x:row>
    <x:row r="45" ht="42" customHeight="1">
      <x:c r="A45" s="45" t="str">
        <x:v>EBX-Q-044</x:v>
      </x:c>
      <x:c r="B45" s="46" t="str">
        <x:v>Môi trường / Chiến lược (Strategy) / Chính sách quản lý chất ô nhiễm và phát thải</x:v>
      </x:c>
      <x:c r="C45" s="46" t="str">
        <x:v>Quản lý ô nhiễm và phát thải / Chính sách quản lý chất ô nhiễm và phát thải</x:v>
      </x:c>
      <x:c r="D45" s="48" t="str">
        <x:v>Daewoong Pharmaceutical đã thực hiện đánh giá tác động tự nhiên thông qua phân tích ENCORE và xác nhận rằng ngành dược phẩm và sinh học có thể gây tác động ở mức trung bình về phát thải chất gây ô nhiễm không khí, phát thải khí nhà kính, phát sinh và phát thải chất thải rắn, phát thải chất ô nhiễm độc hại và chất dinh dưỡng vào hệ thống nước và đất, các yếu tố gây nhiễu như tiếng ồn và ánh sáng, cũng như lượng sử dụng nước. Dựa trên kết quả phân tích này, công ty nhận diện việc sử dụng nước, nước thải, chất thải, hóa chất và chất gây ô nhiễm không khí phát sinh trong quá trình sản xuất và nghiên cứu phát triển là các yếu tố tác động tự nhiên chính và đang thúc đẩy chính sách quản lý một cách hệ thống. Đối với quản lý chất gây ô nhiễm không khí, tất cả các hạng mục phát thải đều được quản lý ổn định trong giới hạn cho phép của pháp luật. Đặc biệt, đối với oxit nitơ (NOx) có xu hướng tăng trong tổng lượng phát thải, công ty đã thiết lập kế hoạch cải thiện riêng vào năm 2023 và đang triển khai các nhiệm vụ thực thi để giảm phát thải. Các chất gây ô nhiễm nước cũng được quản lý tuân thủ nghiêm ngặt các tiêu chuẩn pháp lý, với xu hướng cải thiện tổng lượng phát thải từ năm 2021 và đạt được kết quả duy trì ổn định mức phát thải so với doanh thu vào năm 2023. Trong tương lai, Daewoong Pharmaceutical dự kiến sẽ phân tích chính xác dữ liệu môi trường phát sinh tại mỗi cơ sở để xác định cụ thể nguyên nhân và quy mô của các tác động tự nhiên. Thông qua đó, công ty kế hoạch hiện thực hóa quản trị trách nhiệm môi trường bằng cách tăng cường hơn nữa các hoạt động giảm thiểu nhằm tối thiểu hóa tác động tiêu cực đến vốn tự nhiên như tối ưu hóa tài nguyên nước, quản lý nước thải và chất ô nhiễm, và giảm thiểu chất thải.</x:v>
      </x:c>
      <x:c r="E45" s="49" t="str">
        <x:v>Daewoong Pharmaceutical đang quản lý các chất gây ô nhiễm không khí và nước trong giới hạn cho phép của pháp luật. Đối với các chất gây ô nhiễm không khí, công ty dự kiến sẽ lập và thực hiện kế hoạch cải thiện năm 2023 do sự gia tăng của oxit nitơ (NOx). Lượng phát thải chất gây ô nhiễm nước đã được cải thiện từ năm 2021 và duy trì mức phát thải so với doanh thu trong năm 2023. Theo tài liệu đề xuất đang được xem xét, công ty nhận diện nước thải, hóa chất và chất gây ô nhiễm không khí phát sinh trong quá trình sản xuất và nghiên cứu phát triển là những yếu tố chính ảnh hưởng đến tự nhiên, và có kế hoạch tăng cường các hoạt động giảm thiểu tác động đến vốn tự nhiên, chẳng hạn như quản lý chất gây ô nhiễm dựa trên dữ liệu môi trường của từng cơ sở kinh doanh trong tương lai.</x:v>
      </x:c>
      <x:c r="F45" s="50" t="n">
        <x:f t="shared" si="4"/>
        <x:v>1</x:v>
      </x:c>
      <x:c r="G45" s="50" t="n">
        <x:f t="shared" si="5"/>
        <x:v>1</x:v>
      </x:c>
      <x:c r="H45" s="45" t="n">
        <x:v>718</x:v>
      </x:c>
      <x:c r="I45" s="45" t="n">
        <x:v>294</x:v>
      </x:c>
      <x:c r="J45" s="45" t="n">
        <x:v>7</x:v>
      </x:c>
      <x:c r="K45" s="45" t="n">
        <x:v>3</x:v>
      </x:c>
      <x:c r="L45" s="45" t="n">
        <x:v>101.7</x:v>
      </x:c>
      <x:c r="M45" s="45" t="n">
        <x:v>97.3</x:v>
      </x:c>
      <x:c r="N45" s="45" t="n">
        <x:v>0.325</x:v>
      </x:c>
      <x:c r="O45" s="45" t="n">
        <x:v>0.411</x:v>
      </x:c>
      <x:c r="P45" s="45" t="n">
        <x:v>0.9569</x:v>
      </x:c>
      <x:c r="Q45" s="45" t="n">
        <x:v>0.975</x:v>
      </x:c>
      <x:c r="R45" s="45" t="n">
        <x:v>0.414</x:v>
      </x:c>
      <x:c r="S45" s="45" t="n">
        <x:v>0.607</x:v>
      </x:c>
      <x:c r="T45" s="45" t="n">
        <x:v>1</x:v>
      </x:c>
      <x:c r="U45" s="45" t="n">
        <x:v>0.75</x:v>
      </x:c>
      <x:c r="V45" s="45" t="n">
        <x:v>6.96</x:v>
      </x:c>
      <x:c r="W45" s="45" t="n">
        <x:v>0</x:v>
      </x:c>
      <x:c r="X45" s="45" t="n">
        <x:v>12</x:v>
      </x:c>
      <x:c r="Y45" s="45" t="n">
        <x:v>12</x:v>
      </x:c>
      <x:c r="Z45" s="45" t="n">
        <x:v>1</x:v>
      </x:c>
      <x:c r="AA45" s="45" t="n">
        <x:v>1</x:v>
      </x:c>
      <x:c r="AB45" s="50" t="str">
        <x:f t="shared" si="6"/>
        <x:v>V3</x:v>
      </x:c>
      <x:c r="AC45" s="50" t="str">
        <x:f t="shared" si="7"/>
        <x:v>V2</x:v>
      </x:c>
      <x:c r="AD45" s="47" t="str">
        <x:v>Answer: passed / Consumer Decision: answered_partial / QA Grade: cautious / Publication: review_required / Publication Reason: draft_evidence / Coverage: draft_evidence / RAG Coverage: partial / Answerable: True / Evidence: medium_confidence</x:v>
      </x:c>
    </x:row>
    <x:row r="46" ht="42" customHeight="1">
      <x:c r="A46" s="45" t="str">
        <x:v>EBX-Q-045</x:v>
      </x:c>
      <x:c r="B46" s="46" t="str">
        <x:v>Môi trường / Quản trị (Governance) / Tổ chức và hệ thống quản lý phát thải ô nhiễm</x:v>
      </x:c>
      <x:c r="C46" s="46" t="str">
        <x:v>Quản lý ô nhiễm và phát thải / Tổ chức và hệ thống quản lý phát thải ô nhiễm</x:v>
      </x:c>
      <x:c r="D46" s="48" t="str">
        <x:v>Daewoong Pharmaceutical đang tích cực ứng phó với biến đổi khí hậu thông qua các hoạt động quản trị như giảm lượng phát thải carbon và chất gây ô nhiễm, cũng như phòng ngừa tai nạn an toàn. Thông qua đó, công ty mong muốn hiện thực hóa quản trị an toàn sức khỏe môi trường đáng tin cậy bằng cách tạo ra môi trường làm việc an toàn và dễ chịu.</x:v>
      </x:c>
      <x:c r="E46" s="49" t="str">
        <x:v>Theo tài liệu đề xuất đang được xem xét, Công ty Cổ phần Daewoong đã thành lập Ủy ban ESG và chỉ định những người phụ trách đại diện cho ba trụ cột: Môi trường, Xã hội và Quản trị để ứng phó; trong đó lĩnh vực môi trường phụ trách quản lý biến đổi khí hậu, phát thải carbon và ô nhiễm môi trường.</x:v>
      </x:c>
      <x:c r="F46" s="50" t="n">
        <x:f t="shared" si="4"/>
        <x:v>1</x:v>
      </x:c>
      <x:c r="G46" s="50" t="n">
        <x:f t="shared" si="5"/>
        <x:v>1</x:v>
      </x:c>
      <x:c r="H46" s="45" t="n">
        <x:v>121</x:v>
      </x:c>
      <x:c r="I46" s="45" t="n">
        <x:v>120</x:v>
      </x:c>
      <x:c r="J46" s="45" t="n">
        <x:v>2</x:v>
      </x:c>
      <x:c r="K46" s="45" t="n">
        <x:v>1</x:v>
      </x:c>
      <x:c r="L46" s="45" t="n">
        <x:v>60</x:v>
      </x:c>
      <x:c r="M46" s="45" t="n">
        <x:v>120</x:v>
      </x:c>
      <x:c r="N46" s="45" t="n">
        <x:v>0.083</x:v>
      </x:c>
      <x:c r="O46" s="45" t="n">
        <x:v>0</x:v>
      </x:c>
      <x:c r="P46" s="45" t="n">
        <x:v>0.9615</x:v>
      </x:c>
      <x:c r="Q46" s="45" t="n">
        <x:v>0.9655</x:v>
      </x:c>
      <x:c r="R46" s="45" t="n">
        <x:v>0.644</x:v>
      </x:c>
      <x:c r="S46" s="45" t="n">
        <x:v>0.494</x:v>
      </x:c>
      <x:c r="T46" s="45" t="n">
        <x:v>0.4</x:v>
      </x:c>
      <x:c r="U46" s="45" t="n">
        <x:v>0.6</x:v>
      </x:c>
      <x:c r="V46" s="45" t="n">
        <x:v>8.26</x:v>
      </x:c>
      <x:c r="W46" s="45" t="n">
        <x:v>0</x:v>
      </x:c>
      <x:c r="X46" s="45" t="n">
        <x:v>0</x:v>
      </x:c>
      <x:c r="Y46" s="45" t="n">
        <x:v>0</x:v>
      </x:c>
      <x:c r="Z46" s="45" t="n">
        <x:v>1</x:v>
      </x:c>
      <x:c r="AA46" s="45" t="n">
        <x:v>0</x:v>
      </x:c>
      <x:c r="AB46" s="50" t="str">
        <x:f t="shared" si="6"/>
        <x:v>V2</x:v>
      </x:c>
      <x:c r="AC46" s="50" t="str">
        <x:f t="shared" si="7"/>
        <x:v>V3</x:v>
      </x:c>
      <x:c r="AD46" s="47" t="str">
        <x:v>Answer: passed / Consumer Decision: answered_partial / QA Grade: cautious / Publication: review_required / Publication Reason: draft_evidence / Coverage: draft_evidence / RAG Coverage: insufficient / Answerable: False / Evidence: insufficient</x:v>
      </x:c>
    </x:row>
    <x:row r="47" ht="42" customHeight="1">
      <x:c r="A47" s="45" t="str">
        <x:v>EBX-Q-046</x:v>
      </x:c>
      <x:c r="B47" s="46" t="str">
        <x:v>Môi trường / Quản trị rủi ro (Risk Management) / Quản trị rủi ro phát thải chất gây ô nhiễm</x:v>
      </x:c>
      <x:c r="C47" s="46" t="str">
        <x:v>Quản lý ô nhiễm và phát thải / Quản trị rủi ro phát thải chất gây ô nhiễm</x:v>
      </x:c>
      <x:c r="D47" s="48" t="str">
        <x:v>Daewoong Pharmaceutical xác định và quản lý rủi ro chuyển đổi về chính sách và pháp lý, trong đó cần nâng cao mức độ quản lý môi trường của các cơ sở sản xuất do các quy định pháp luật về môi trường và tiêu chuẩn quản lý chất phát thải/ô nhiễm ngày càng thắt chặt. Để ứng phó với những rủi ro này, từ năm 2024, công ty đã vận hành hệ thống quản lý tập trung hơn đối với rủi ro phát thải chất gây ô nhiễm, áp dụng cho các địa điểm kinh doanh trong nước của Daewoong Pharmaceutical và Daewoong Bio. Về mặt quản lý chất gây ô nhiễm không khí, công ty đang kiểm soát rủi ro bằng cách duy trì tất cả các hạng mục phát thải ổn định trong giới hạn cho phép của pháp luật. Đặc biệt, thông qua quá trình phân tích tổng lượng phát thải, công ty đã nhận thấy xu hướng tăng của oxit nitơ, vì vậy vào năm 2023, một kế hoạch cải thiện riêng biệt đã được thiết lập và thực hiện nhằm triển khai các biện pháp thực tế để giảm thiểu tác động đến môi trường không khí. Các chất gây ô nhiễm nguồn nước cũng được quản lý ổn định và tuân thủ nghiêm ngặt các tiêu chuẩn cho phép của pháp luật. Đối với tổng lượng phát thải nước, xu hướng cải thiện liên tục đã được ghi nhận từ năm 2021, và dựa trên kết quả quản lý này, vào năm 2023, công ty tiếp tục duy trì mức phát thải so với doanh thu ở mức hợp lý, kiểm soát hiệu quả rủi ro ô nhiễm nước. Thông qua đó, Daewoong Pharmaceutical tập trung vào việc giảm thiểu tác động môi trường bằng cách quản lý một cách hệ thống rủi ro phát thải chất gây ô nhiễm không khí và nước trong bối cảnh các quy định về môi trường ngày càng khắt khe.</x:v>
      </x:c>
      <x:c r="E47" s="49" t="str">
        <x:v>Daewoong quản lý các chất gây ô nhiễm không khí và nước trong giới hạn cho phép của pháp luật. Đối với chất gây ô nhiễm không khí, do lượng phát thải oxit nitơ (NOx) tăng, công ty đã thiết lập và thực hiện kế hoạch cải thiện vào năm 2023; đối với tổng lượng phát thải chất gây ô nhiễm nước, xu hướng cải thiện đã bắt đầu từ năm 2021 và tiếp tục duy trì mức phát thải so với doanh thu vào năm 2023.</x:v>
      </x:c>
      <x:c r="F47" s="50" t="n">
        <x:f t="shared" si="4"/>
        <x:v>1</x:v>
      </x:c>
      <x:c r="G47" s="50" t="n">
        <x:f t="shared" si="5"/>
        <x:v>1</x:v>
      </x:c>
      <x:c r="H47" s="45" t="n">
        <x:v>633</x:v>
      </x:c>
      <x:c r="I47" s="45" t="n">
        <x:v>159</x:v>
      </x:c>
      <x:c r="J47" s="45" t="n">
        <x:v>7</x:v>
      </x:c>
      <x:c r="K47" s="45" t="n">
        <x:v>2</x:v>
      </x:c>
      <x:c r="L47" s="45" t="n">
        <x:v>89.6</x:v>
      </x:c>
      <x:c r="M47" s="45" t="n">
        <x:v>79</x:v>
      </x:c>
      <x:c r="N47" s="45" t="n">
        <x:v>0.271</x:v>
      </x:c>
      <x:c r="O47" s="45" t="n">
        <x:v>0.494</x:v>
      </x:c>
      <x:c r="P47" s="45" t="n">
        <x:v>0.9269</x:v>
      </x:c>
      <x:c r="Q47" s="45" t="n">
        <x:v>0.9118</x:v>
      </x:c>
      <x:c r="R47" s="45" t="n">
        <x:v>0.222</x:v>
      </x:c>
      <x:c r="S47" s="45" t="n">
        <x:v>0.55</x:v>
      </x:c>
      <x:c r="T47" s="45" t="n">
        <x:v>1</x:v>
      </x:c>
      <x:c r="U47" s="45" t="n">
        <x:v>0.75</x:v>
      </x:c>
      <x:c r="V47" s="45" t="n">
        <x:v>6.32</x:v>
      </x:c>
      <x:c r="W47" s="45" t="n">
        <x:v>0</x:v>
      </x:c>
      <x:c r="X47" s="45" t="n">
        <x:v>16</x:v>
      </x:c>
      <x:c r="Y47" s="45" t="n">
        <x:v>12</x:v>
      </x:c>
      <x:c r="Z47" s="45" t="n">
        <x:v>0</x:v>
      </x:c>
      <x:c r="AA47" s="45" t="n">
        <x:v>0</x:v>
      </x:c>
      <x:c r="AB47" s="50" t="str">
        <x:f t="shared" si="6"/>
        <x:v>V3</x:v>
      </x:c>
      <x:c r="AC47" s="50" t="str">
        <x:f t="shared" si="7"/>
        <x:v>V2</x:v>
      </x:c>
      <x:c r="AD47" s="47" t="str">
        <x:v>Answer: passed / Consumer Decision: answered_partial / QA Grade: partial / Publication: review_required / Publication Reason: missing_expected_facets / Coverage: missing_expected_facets / RAG Coverage: partial / Answerable: True / Evidence: thin_but_usable</x:v>
      </x:c>
    </x:row>
    <x:row r="48" ht="42" customHeight="1">
      <x:c r="A48" s="45" t="str">
        <x:v>EBX-Q-047</x:v>
      </x:c>
      <x:c r="B48" s="46" t="str">
        <x:v>Môi trường / Chỉ số (Metrics) / Hiện trạng phát thải chất gây ô nhiễm</x:v>
      </x:c>
      <x:c r="C48" s="46" t="str">
        <x:v>Quản lý ô nhiễm và phát thải / Hiện trạng phát thải chất gây ô nhiễm</x:v>
      </x:c>
      <x:c r="D48" s="48" t="str">
        <x:v>Daewoong Pharmaceutical đang vận hành hệ thống quản lý nhằm giảm thiểu tác động môi trường bằng cách duy trì lượng phát thải chất gây ô nhiễm không khí và nước trong giới hạn cho phép của pháp luật. Đối với chất gây ô nhiễm không khí, tính đến năm 2025, lượng phát thải ghi nhận là 4,17565 tấn Oxit Nitơ (NOx), 0,006 tấn Oxit Lưu huỳnh (SOx) và 0,738000464 tấn bụi, với cường độ phát thải được tính toán là 0,3536772439971244kg/100 triệu won. Đặc biệt, do nhận thấy xu hướng tăng của Oxit Nitơ trong tổng lượng phát thải, công ty đã thiết lập và thực hiện kế hoạch cải thiện năm 2023 cũng như thúc đẩy các biện pháp giảm thiểu để quản lý tập trung vấn đề này. Các chất gây ô nhiễm nước cũng được quản lý thông qua giám sát nghiêm ngặt, với kết quả phát thải năm 2025 ghi nhận: BOD 0,83 tấn, SS 0,566 tấn, T-N 3,21 tấn, T-P 0,029 tấn và TOC 2,305 tấn. Đặc biệt, nhu cầu oxy hóa học (COD) tiếp tục ghi nhận mức 0,0 tấn trong năm 2025 nối tiếp năm 2024, duy trì trạng thái quản lý chất lượng nước hiệu quả. Như vậy, Daewoong Pharmaceutical đang tập trung vào việc giảm thiểu tác động đến môi trường bằng cách đo lường chính xác hiện trạng phát thải chất gây ô nhiễm không khí và nước, đồng thời liên tục thực hiện các hoạt động cải thiện dựa trên đặc tính phát thải của từng chất.</x:v>
      </x:c>
      <x:c r="E48" s="49" t="str">
        <x:v>Các chất gây ô nhiễm không khí và nước đang được quản lý trong giới hạn cho phép của pháp luật. Đối với chất gây ô nhiễm không khí, do sự gia tăng của Oxit Nitơ (NOx), kế hoạch cải thiện năm 2023 đã được thiết lập và đang được thực hiện; đồng thời, có sự chênh lệch về lượng phát thải do phương pháp tính toán lượng NOx phát sinh tại nhà máy Hyangnam và nhà máy Osong của Daewoong Pharmaceutical đã thay đổi từ nồng độ sang lượng nhiên liệu sử dụng. Ngoài ra, từ năm 2024, phạm vi áp dụng của báo cáo đã được thay đổi thành các cơ sở kinh doanh trong nước của Công ty Cổ phần Daewoong Pharmaceutical và Công ty Cổ phần Daewoong Bio.</x:v>
      </x:c>
      <x:c r="F48" s="50" t="n">
        <x:f t="shared" si="4"/>
        <x:v>1</x:v>
      </x:c>
      <x:c r="G48" s="50" t="n">
        <x:f t="shared" si="5"/>
        <x:v>1</x:v>
      </x:c>
      <x:c r="H48" s="45" t="n">
        <x:v>586</x:v>
      </x:c>
      <x:c r="I48" s="45" t="n">
        <x:v>215</x:v>
      </x:c>
      <x:c r="J48" s="45" t="n">
        <x:v>6</x:v>
      </x:c>
      <x:c r="K48" s="45" t="n">
        <x:v>3</x:v>
      </x:c>
      <x:c r="L48" s="45" t="n">
        <x:v>96.8</x:v>
      </x:c>
      <x:c r="M48" s="45" t="n">
        <x:v>71</x:v>
      </x:c>
      <x:c r="N48" s="45" t="n">
        <x:v>0.204</x:v>
      </x:c>
      <x:c r="O48" s="45" t="n">
        <x:v>0.506</x:v>
      </x:c>
      <x:c r="P48" s="45" t="n">
        <x:v>0.9271</x:v>
      </x:c>
      <x:c r="Q48" s="45" t="n">
        <x:v>0.92</x:v>
      </x:c>
      <x:c r="R48" s="45" t="n">
        <x:v>0.241</x:v>
      </x:c>
      <x:c r="S48" s="45" t="n">
        <x:v>0.462</x:v>
      </x:c>
      <x:c r="T48" s="45" t="n">
        <x:v>1</x:v>
      </x:c>
      <x:c r="U48" s="45" t="n">
        <x:v>0.667</x:v>
      </x:c>
      <x:c r="V48" s="45" t="n">
        <x:v>3.41</x:v>
      </x:c>
      <x:c r="W48" s="45" t="n">
        <x:v>0</x:v>
      </x:c>
      <x:c r="X48" s="45" t="n">
        <x:v>77</x:v>
      </x:c>
      <x:c r="Y48" s="45" t="n">
        <x:v>8</x:v>
      </x:c>
      <x:c r="Z48" s="45" t="n">
        <x:v>0</x:v>
      </x:c>
      <x:c r="AA48" s="45" t="n">
        <x:v>0</x:v>
      </x:c>
      <x:c r="AB48" s="50" t="str">
        <x:f t="shared" si="6"/>
        <x:v>V3</x:v>
      </x:c>
      <x:c r="AC48" s="50" t="str">
        <x:f t="shared" si="7"/>
        <x:v>V2</x:v>
      </x:c>
      <x:c r="AD48" s="47" t="str">
        <x:v>Answer: passed / Consumer Decision: answered / QA Grade: full / Publication: published / Publication Reason: complete_grounded_answer / Coverage: complete_grounded_answer / RAG Coverage: complete / Answerable: True / Evidence: high_confidence</x:v>
      </x:c>
    </x:row>
    <x:row r="49" ht="42" customHeight="1">
      <x:c r="A49" s="45" t="str">
        <x:v>EBX-Q-048</x:v>
      </x:c>
      <x:c r="B49" s="46" t="str">
        <x:v>Môi trường / Chiến lược (Strategy) / Chính sách và mục tiêu phát triển sản phẩm thân thiện với môi trường</x:v>
      </x:c>
      <x:c r="C49" s="46" t="str">
        <x:v>Sản phẩm thân thiện với môi trường / Chính sách và mục tiêu phát triển sản phẩm thân thiện với môi trường</x:v>
      </x:c>
      <x:c r="D49" s="48" t="str">
        <x:v>Daewoong Pharmaceutical đã thiết lập và vận hành chính sách mua sắm xanh phản ánh các yếu tố thân thiện với môi trường nhằm thực hiện trách nhiệm xã hội đối với việc bảo vệ và bảo tồn môi trường. Chính sách này áp dụng cho tất cả các địa điểm kinh doanh, không chỉ đối với việc mua nguyên liệu và vật liệu phụ cho mục đích sản xuất mà còn áp dụng rộng rãi cho việc mua sắm thiết bị văn phòng thông thường và vật tư tiêu hao. Đặc biệt, xem xét đặc thù của ngành dược phẩm, công ty thiết lập và áp dụng các tiêu chuẩn mua sắm vừa đảm bảo tính ổn định thiết yếu trong toàn bộ quá trình sản xuất như cung ứng nguyên liệu và nghiên cứu phát triển, vừa cân nhắc tính thân thiện với môi trường. Để xây dựng mô hình kinh doanh thân thiện với môi trường, công ty đang vận hành hệ thống hợp tác chặt chẽ với các đối tác, thúc đẩy việc cùng phát triển và áp dụng các vật liệu thân thiện với môi trường. Công ty tích cực xem xét các ý tưởng và phương án áp dụng vật liệu thân thiện với môi trường do đối tác đề xuất, đồng thời phân loại các đối tác thể hiện sự tích cực này thành đối tác chiến lược để quản lý thông qua hệ thống hỗ trợ và phát triển công nghệ chung. Ngoài ra, công ty đang xem xét các phương án hỗ trợ đối tác cung cấp sản phẩm xanh ổn định để tính thân thiện với môi trường và tính bền vững có thể lan tỏa trong toàn bộ chuỗi cung ứng. Theo lộ trình thực hiện từng giai đoạn, vào năm 2022, các vật tư tiêu hao như băng keo dán thùng và túi đá gel đã được thay thế bằng vật liệu thân thiện với môi trường; năm 2023, công ty thúc đẩy áp dụng hướng dẫn sử dụng thân thiện với môi trường và triển khai e-label liên kết với Chính phủ và Bộ An toàn Thực phẩm và Dược phẩm. Năm 2024, công ty đang áp dụng các phương án chuyển đổi vật liệu thân thiện với môi trường cho vỏ hộp và thùng carton, giảm lượng giấy sử dụng và tối thiểu hóa việc đóng gói quá mức; năm 2025, công ty kế hoạch thúc đẩy phát triển bao bì bằng vật liệu thân thiện với môi trường và giảm kích thước bao bì thông qua việc tối thiểu hóa tỷ lệ thể tích.</x:v>
      </x:c>
      <x:c r="E49" s="49" t="str">
        <x:v>Daewoong Pharmaceutical đã thiết lập chính sách mua sắm xanh phản ánh các yếu tố thân thiện với môi trường để thực hiện trách nhiệm xã hội trong việc bảo vệ và bảo tồn môi trường, áp dụng cho việc mua sắm nguyên vật liệu phụ và thiết bị văn phòng tại tất cả các địa điểm kinh doanh. Công ty đang xây dựng mô hình kinh doanh thân thiện với môi trường bằng cách hợp tác chặt chẽ với các đối tác để cùng phát triển và áp dụng vật liệu thân thiện với môi trường. Theo tài liệu đề xuất đang được xem xét, kế hoạch thực hiện cụ thể bao gồm: thay đổi sang vật liệu thân thiện với môi trường cho băng keo dán thùng và túi đá gel vào năm 2022, hướng dẫn sử dụng và nhãn mác vào năm 2023, vỏ hộp và thùng carton cũng như tối thiểu hóa đóng gói quá mức vào năm 2024, và kế hoạch thúc đẩy phát triển bao bì vật liệu thân thiện với môi trường cùng tối thiểu hóa tỷ lệ thể tích vào năm 2025.</x:v>
      </x:c>
      <x:c r="F49" s="50" t="n">
        <x:f t="shared" si="4"/>
        <x:v>1</x:v>
      </x:c>
      <x:c r="G49" s="50" t="n">
        <x:f t="shared" si="5"/>
        <x:v>1</x:v>
      </x:c>
      <x:c r="H49" s="45" t="n">
        <x:v>723</x:v>
      </x:c>
      <x:c r="I49" s="45" t="n">
        <x:v>303</x:v>
      </x:c>
      <x:c r="J49" s="45" t="n">
        <x:v>8</x:v>
      </x:c>
      <x:c r="K49" s="45" t="n">
        <x:v>3</x:v>
      </x:c>
      <x:c r="L49" s="45" t="n">
        <x:v>89.5</x:v>
      </x:c>
      <x:c r="M49" s="45" t="n">
        <x:v>100.3</x:v>
      </x:c>
      <x:c r="N49" s="45" t="n">
        <x:v>0.194</x:v>
      </x:c>
      <x:c r="O49" s="45" t="n">
        <x:v>0.359</x:v>
      </x:c>
      <x:c r="P49" s="45" t="n">
        <x:v>0.9435</x:v>
      </x:c>
      <x:c r="Q49" s="45" t="n">
        <x:v>0.8945</x:v>
      </x:c>
      <x:c r="R49" s="45" t="n">
        <x:v>0.371</x:v>
      </x:c>
      <x:c r="S49" s="45" t="n">
        <x:v>0.53</x:v>
      </x:c>
      <x:c r="T49" s="45" t="n">
        <x:v>0.8</x:v>
      </x:c>
      <x:c r="U49" s="45" t="n">
        <x:v>0.6</x:v>
      </x:c>
      <x:c r="V49" s="45" t="n">
        <x:v>4.15</x:v>
      </x:c>
      <x:c r="W49" s="45" t="n">
        <x:v>0</x:v>
      </x:c>
      <x:c r="X49" s="45" t="n">
        <x:v>16</x:v>
      </x:c>
      <x:c r="Y49" s="45" t="n">
        <x:v>16</x:v>
      </x:c>
      <x:c r="Z49" s="45" t="n">
        <x:v>1</x:v>
      </x:c>
      <x:c r="AA49" s="45" t="n">
        <x:v>0</x:v>
      </x:c>
      <x:c r="AB49" s="50" t="str">
        <x:f t="shared" si="6"/>
        <x:v>V3</x:v>
      </x:c>
      <x:c r="AC49" s="50" t="str">
        <x:f t="shared" si="7"/>
        <x:v>V2</x:v>
      </x:c>
      <x:c r="AD49" s="47" t="str">
        <x:v>Answer: passed / Consumer Decision: answered_partial / QA Grade: cautious / Publication: review_required / Publication Reason: draft_evidence / Coverage: draft_evidence / RAG Coverage: partial / Answerable: True / Evidence: medium_confidence</x:v>
      </x:c>
    </x:row>
    <x:row r="50" ht="42" customHeight="1">
      <x:c r="A50" s="45" t="str">
        <x:v>EBX-Q-049</x:v>
      </x:c>
      <x:c r="B50" s="46" t="str">
        <x:v>Môi trường / Quản trị (Governance) / Tổ chức và hệ thống quản lý sản phẩm thân thiện với môi trường</x:v>
      </x:c>
      <x:c r="C50" s="46" t="str">
        <x:v>Sản phẩm thân thiện với môi trường / Tổ chức và hệ thống quản lý sản phẩm thân thiện với môi trường</x:v>
      </x:c>
      <x:c r="D50" s="52"/>
      <x:c r="E50" s="49" t="str">
        <x:v>Daewoong Pharmaceutical đang thực hiện quản lý sản phẩm thân thiện với môi trường và chuỗi cung ứng thông qua hội đồng thư ký EHS. Đội ngũ SCM chịu trách nhiệm quản lý nhập và xuất nguyên liệu thô cũng như sản phẩm, đồng thời quản lý nhà cung cấp thân thiện với môi trường, lựa chọn và quản lý đối tác; trong khi đội ngũ mua hàng thực hiện mua sắm xanh và quản lý hỗ trợ. Ngoài ra, thư ký môi trường chịu trách nhiệm quản lý các chỉ số theo từng lĩnh vực môi trường và thiết lập chiến lược môi trường để hỗ trợ quản trị môi trường một cách hệ thống.</x:v>
      </x:c>
      <x:c r="F50" s="50" t="n">
        <x:f t="shared" si="4"/>
        <x:v>0</x:v>
      </x:c>
      <x:c r="G50" s="50" t="n">
        <x:f t="shared" si="5"/>
        <x:v>1</x:v>
      </x:c>
      <x:c r="H50" s="45" t="n">
        <x:v>0</x:v>
      </x:c>
      <x:c r="I50" s="45" t="n">
        <x:v>196</x:v>
      </x:c>
      <x:c r="J50" s="45" t="n">
        <x:v>0</x:v>
      </x:c>
      <x:c r="K50" s="45" t="n">
        <x:v>3</x:v>
      </x:c>
      <x:c r="L50" s="45" t="n">
        <x:v>0</x:v>
      </x:c>
      <x:c r="M50" s="45" t="n">
        <x:v>64.7</x:v>
      </x:c>
      <x:c r="N50" s="45" t="n">
        <x:v>0</x:v>
      </x:c>
      <x:c r="O50" s="45" t="n">
        <x:v>0.245</x:v>
      </x:c>
      <x:c r="P50" s="45" t="n">
        <x:v>0</x:v>
      </x:c>
      <x:c r="Q50" s="45" t="n">
        <x:v>0.8222</x:v>
      </x:c>
      <x:c r="R50" s="45" t="n">
        <x:v>0</x:v>
      </x:c>
      <x:c r="S50" s="45" t="n">
        <x:v>0.36</x:v>
      </x:c>
      <x:c r="T50" s="45" t="n">
        <x:v>0</x:v>
      </x:c>
      <x:c r="U50" s="45" t="n">
        <x:v>0.8</x:v>
      </x:c>
      <x:c r="V50" s="45" t="n">
        <x:v>0</x:v>
      </x:c>
      <x:c r="W50" s="45" t="n">
        <x:v>0</x:v>
      </x:c>
      <x:c r="X50" s="45" t="n">
        <x:v>0</x:v>
      </x:c>
      <x:c r="Y50" s="45" t="n">
        <x:v>0</x:v>
      </x:c>
      <x:c r="Z50" s="45" t="n">
        <x:v>0</x:v>
      </x:c>
      <x:c r="AA50" s="45" t="n">
        <x:v>0</x:v>
      </x:c>
      <x:c r="AB50" s="50" t="str">
        <x:f t="shared" si="6"/>
        <x:v>Không thể so sánh</x:v>
      </x:c>
      <x:c r="AC50" s="50" t="str">
        <x:f t="shared" si="7"/>
        <x:v>Không thể so sánh</x:v>
      </x:c>
      <x:c r="AD50" s="47" t="str">
        <x:v>Answer: passed / Consumer Decision: answered_partial / QA Grade: partial / Publication: review_required / Publication Reason: missing_expected_facets / Coverage: missing_expected_facets / RAG Coverage: complete / Answerable: True / Evidence: high_confidence</x:v>
      </x:c>
    </x:row>
    <x:row r="51" ht="42" customHeight="1">
      <x:c r="A51" s="45" t="str">
        <x:v>EBX-Q-050</x:v>
      </x:c>
      <x:c r="B51" s="46" t="str">
        <x:v>Môi trường / Quản trị rủi ro (Risk Management) / Quản trị rủi ro liên quan đến sản phẩm thân thiện với môi trường</x:v>
      </x:c>
      <x:c r="C51" s="46" t="str">
        <x:v>Sản phẩm thân thiện với môi trường / Quản trị rủi ro liên quan đến sản phẩm thân thiện với môi trường</x:v>
      </x:c>
      <x:c r="D51" s="48" t="str">
        <x:v>Daewoong Pharmaceutical đang tăng cường xem xét tính thân thiện với môi trường của sản phẩm và bao bì nhằm quản lý rủi ro chuyển đổi do nhu cầu về môi trường của thị trường và khách hàng ngày càng tăng. Đặc biệt, công ty đang xem xét giảm thiểu bao bì, cải thiện khả năng tái chế, áp dụng vật liệu thân thiện với môi trường, đồng thời chỉnh sửa quy trình thu hồi sản phẩm và xử lý chất thải để xây dựng hệ thống ứng phó. Ngoài ra, như một phần của rủi ro chuyển đổi kỹ thuật, công ty đang chú trọng đến sự cạnh tranh trong phát triển vật liệu dược phẩm thân thiện với môi trường và nhu cầu ngày càng tăng đối với các công thức thuốc carbon thấp và giảm thiểu tác động môi trường. Đồng thời, công ty xác định và quản lý các yêu cầu ngày càng tăng từ các bệnh viện, cơ quan công quyền và khách hàng toàn cầu về sản xuất carbon thấp, bao bì thân thiện với môi trường và quản lý phát thải chuỗi cung ứng là những yếu tố rủi ro chính. Để nâng cao hiệu quả quản lý rủi ro, công ty đang phân tích khả năng tăng chi phí nguyên vật liệu do chuyển đổi sang bao bì và nguyên phụ liệu thân thiện với môi trường, đồng thời thực hiện đánh giá rủi ro một cách hệ thống bằng cách tính toán mức độ rủi ro tài chính tiềm ẩn, xem xét giá trị sổ sách của vật liệu bao bì và tỷ lệ chuyển đổi sang bao bì thân thiện với môi trường.</x:v>
      </x:c>
      <x:c r="E51" s="49" t="str">
        <x:v>Daewoong Pharmaceutical đang tăng cường xem xét tính thân thiện với môi trường của sản phẩm và bao bì để ứng phó với rủi ro chuyển đổi do nhu cầu về môi trường của sản phẩm và bao bì ngày càng tăng. Cụ thể, công ty đang xem xét giảm thiểu bao bì, cải thiện khả năng tái chế, áp dụng vật liệu thân thiện với môi trường và thúc đẩy các hoạt động như loại bỏ vật liệu bao bì đệm bằng mút xốp và nhựa. Ngoài ra, công ty đang ứng phó với nhu cầu về môi trường của thị trường và khách hàng bằng cách chỉnh sửa quy trình thu hồi sản phẩm và xử lý chất thải, đồng thời quản lý rủi ro chuyển đổi kỹ thuật do nhu cầu ngày càng tăng về vật liệu thân thiện với môi trường, công thức carbon thấp và phát triển dược phẩm giảm thiểu tác động môi trường trong trung và dài hạn.</x:v>
      </x:c>
      <x:c r="F51" s="50" t="n">
        <x:f t="shared" si="4"/>
        <x:v>1</x:v>
      </x:c>
      <x:c r="G51" s="50" t="n">
        <x:f t="shared" si="5"/>
        <x:v>1</x:v>
      </x:c>
      <x:c r="H51" s="45" t="n">
        <x:v>461</x:v>
      </x:c>
      <x:c r="I51" s="45" t="n">
        <x:v>279</x:v>
      </x:c>
      <x:c r="J51" s="45" t="n">
        <x:v>5</x:v>
      </x:c>
      <x:c r="K51" s="45" t="n">
        <x:v>3</x:v>
      </x:c>
      <x:c r="L51" s="45" t="n">
        <x:v>91.4</x:v>
      </x:c>
      <x:c r="M51" s="45" t="n">
        <x:v>92.3</x:v>
      </x:c>
      <x:c r="N51" s="45" t="n">
        <x:v>0.268</x:v>
      </x:c>
      <x:c r="O51" s="45" t="n">
        <x:v>0.252</x:v>
      </x:c>
      <x:c r="P51" s="45" t="n">
        <x:v>0.883</x:v>
      </x:c>
      <x:c r="Q51" s="45" t="n">
        <x:v>0.9052</x:v>
      </x:c>
      <x:c r="R51" s="45" t="n">
        <x:v>0.389</x:v>
      </x:c>
      <x:c r="S51" s="45" t="n">
        <x:v>0.545</x:v>
      </x:c>
      <x:c r="T51" s="45" t="n">
        <x:v>0.8</x:v>
      </x:c>
      <x:c r="U51" s="45" t="n">
        <x:v>0.8</x:v>
      </x:c>
      <x:c r="V51" s="45" t="n">
        <x:v>2.17</x:v>
      </x:c>
      <x:c r="W51" s="45" t="n">
        <x:v>7.17</x:v>
      </x:c>
      <x:c r="X51" s="45" t="n">
        <x:v>0</x:v>
      </x:c>
      <x:c r="Y51" s="45" t="n">
        <x:v>0</x:v>
      </x:c>
      <x:c r="Z51" s="45" t="n">
        <x:v>0</x:v>
      </x:c>
      <x:c r="AA51" s="45" t="n">
        <x:v>0</x:v>
      </x:c>
      <x:c r="AB51" s="50" t="str">
        <x:f t="shared" si="6"/>
        <x:v>V3</x:v>
      </x:c>
      <x:c r="AC51" s="50" t="str">
        <x:f t="shared" si="7"/>
        <x:v>Hòa</x:v>
      </x:c>
      <x:c r="AD51" s="47" t="str">
        <x:v>Answer: passed / Consumer Decision: answered_partial / QA Grade: full / Publication: review_required / Publication Reason: human_review_required / Coverage: complete_grounded_answer / RAG Coverage: partial / Answerable: True / Evidence: thin_but_usable</x:v>
      </x:c>
    </x:row>
    <x:row r="52" ht="42" customHeight="1">
      <x:c r="A52" s="45" t="str">
        <x:v>EBX-Q-051</x:v>
      </x:c>
      <x:c r="B52" s="46" t="str">
        <x:v>Môi trường / Chỉ số (Metrics) / Hiện trạng phát triển và chứng nhận sản phẩm thân thiện với môi trường</x:v>
      </x:c>
      <x:c r="C52" s="46" t="str">
        <x:v>Sản phẩm thân thiện với môi trường / Hiện trạng phát triển và chứng nhận sản phẩm thân thiện với môi trường</x:v>
      </x:c>
      <x:c r="D52" s="48" t="str">
        <x:v>Daewoong Pharmaceutical đang hiện thực hóa mô hình kinh doanh thân thiện với môi trường bằng cách xây dựng hệ thống hợp tác chặt chẽ với các đối tác để thúc đẩy cùng phát triển và áp dụng vật liệu thân thiện với môi trường. Đặc biệt, công ty phân loại và quản lý các đối tác đề xuất ý tưởng và phương án áp dụng vật liệu thân thiện với môi trường là đối tác chiến lược, đồng thời nâng cao khả năng thực thi thông qua hệ thống hỗ trợ và cùng phát triển công nghệ. Việc chuyển đổi thân thiện với môi trường cho từng loại vật liệu đang được tiến hành một cách hệ thống theo lộ trình từng giai đoạn. Năm 2022, các vật liệu tiêu hao như băng keo đóng thùng và túi đá gel đã được thay thế bằng vật liệu thân thiện với môi trường; năm 2023, công ty thúc đẩy áp dụng nhãn điện tử (e-label) liên kết với Chính phủ và Bộ An toàn Thực phẩm và Dược phẩm, cũng như áp dụng hướng dẫn sử dụng thân thiện với môi trường. Năm 2024, công ty đang áp dụng chuyển đổi vật liệu thân thiện với môi trường cho vỏ hộp và thùng carton, giảm lượng giấy sử dụng và tối thiểu hóa việc đóng gói quá mức; năm 2025, công ty kế hoạch thúc đẩy phát triển bình chứa bằng vật liệu thân thiện với môi trường và giảm kích thước bình chứa thông qua tối thiểu hóa tỷ lệ thể tích.</x:v>
      </x:c>
      <x:c r="E52" s="51"/>
      <x:c r="F52" s="50" t="n">
        <x:f t="shared" si="4"/>
        <x:v>1</x:v>
      </x:c>
      <x:c r="G52" s="50" t="n">
        <x:f t="shared" si="5"/>
        <x:v>0</x:v>
      </x:c>
      <x:c r="H52" s="45" t="n">
        <x:v>429</x:v>
      </x:c>
      <x:c r="I52" s="45" t="n">
        <x:v>0</x:v>
      </x:c>
      <x:c r="J52" s="45" t="n">
        <x:v>5</x:v>
      </x:c>
      <x:c r="K52" s="45" t="n">
        <x:v>0</x:v>
      </x:c>
      <x:c r="L52" s="45" t="n">
        <x:v>85</x:v>
      </x:c>
      <x:c r="M52" s="45" t="n">
        <x:v>0</x:v>
      </x:c>
      <x:c r="N52" s="45" t="n">
        <x:v>0.301</x:v>
      </x:c>
      <x:c r="O52" s="45" t="n">
        <x:v>0</x:v>
      </x:c>
      <x:c r="P52" s="45" t="n">
        <x:v>0.8926</x:v>
      </x:c>
      <x:c r="Q52" s="45" t="n">
        <x:v>0</x:v>
      </x:c>
      <x:c r="R52" s="45" t="n">
        <x:v>0.352</x:v>
      </x:c>
      <x:c r="S52" s="45" t="n">
        <x:v>0</x:v>
      </x:c>
      <x:c r="T52" s="45" t="n">
        <x:v>0.4</x:v>
      </x:c>
      <x:c r="U52" s="45" t="n">
        <x:v>0</x:v>
      </x:c>
      <x:c r="V52" s="45" t="n">
        <x:v>2.33</x:v>
      </x:c>
      <x:c r="W52" s="45" t="n">
        <x:v>0</x:v>
      </x:c>
      <x:c r="X52" s="45" t="n">
        <x:v>16</x:v>
      </x:c>
      <x:c r="Y52" s="45" t="n">
        <x:v>0</x:v>
      </x:c>
      <x:c r="Z52" s="45" t="n">
        <x:v>0</x:v>
      </x:c>
      <x:c r="AA52" s="45" t="n">
        <x:v>0</x:v>
      </x:c>
      <x:c r="AB52" s="50" t="str">
        <x:f t="shared" si="6"/>
        <x:v>Không thể so sánh</x:v>
      </x:c>
      <x:c r="AC52" s="50" t="str">
        <x:f t="shared" si="7"/>
        <x:v>Không thể so sánh</x:v>
      </x:c>
      <x:c r="AD52" s="47" t="str">
        <x:v>Answer: failed / Consumer Decision: blocked_qa / QA Grade: failed / Publication: blocked / Publication Reason: qa_not_passed / Coverage: writer_empty / RAG Coverage: partial / Answerable: True / Evidence: medium_confidence</x:v>
      </x:c>
    </x:row>
    <x:row r="53" ht="42" customHeight="1">
      <x:c r="A53" s="45" t="str">
        <x:v>EBX-Q-052</x:v>
      </x:c>
      <x:c r="B53" s="46" t="str">
        <x:v>Môi trường / Chiến lược (Strategy) / Chính sách và mục tiêu trách nhiệm môi trường sản phẩm</x:v>
      </x:c>
      <x:c r="C53" s="46" t="str">
        <x:v>Trách nhiệm sản phẩm / Chính sách và mục tiêu trách nhiệm môi trường sản phẩm</x:v>
      </x:c>
      <x:c r="D53" s="48" t="str">
        <x:v>Daewoong Pharmaceutical đã thiết lập và duy trì hệ thống quản lý môi trường trên toàn doanh nghiệp bằng cách xây dựng một cách hệ thống các chính sách, tổ chức, trách nhiệm và quy trình quản lý môi trường. Đặc biệt, công ty đang thực hiện quản lý môi trường dựa trên dữ liệu thông qua việc vận hành hệ thống đánh giá, thu thập và phân tích dữ liệu liên quan đến môi trường một cách hệ thống để ứng dụng thực tế vào việc ra quyết định quản trị. Chính sách môi trường được thiết lập để thực hiện trách nhiệm môi trường trong toàn bộ vòng đời sản phẩm được áp dụng cho tất cả các cơ sở kinh doanh của công ty, với phạm vi bao quát từ việc mua nguyên liệu, vật liệu phụ cho mục đích sản xuất đến việc mua sắm thiết bị văn phòng và vật tư tiêu hao thông thường. Tất cả cán bộ nhân viên đều lấy việc thực hiện mua sắm sản phẩm xanh làm nguyên tắc cơ bản, nỗ lực giảm thiểu tác động môi trường ngay từ giai đoạn giới thiệu và thu mua sản phẩm. Ngoài ra, để tạo ra kết quả môi trường bền vững, công ty liên tục thảo luận, sửa đổi các mục tiêu trung và dài hạn về hiệu quả môi trường và tinh chỉnh định hướng chiến lược. Đặc biệt, ở cấp độ Tập đoàn Daewoong, công ty đang tìm kiếm các giải pháp cải thiện thực tế như phân tích lại các yếu tố cản trở việc nâng cao tỷ lệ tái chế, đồng thời xây dựng phương án ứng phó quản lý lượng tái chế chất thải để tăng cường quản trị trách nhiệm môi trường trong toàn bộ quy trình, bao gồm cả giai đoạn tiêu hủy sau khi sử dụng sản phẩm.</x:v>
      </x:c>
      <x:c r="E53" s="49" t="str">
        <x:v>Khi mua nguyên liệu, vật liệu phụ cần thiết cho sản xuất như thu mua nguyên liệu, nghiên cứu và phát triển, sản xuất, công ty vừa đảm bảo chất lượng và tính ổn định, vừa cân nhắc đến tính thân thiện với môi trường; đồng thời lấy nguyên tắc cơ bản là thực hiện mua sắm sản phẩm xanh và liên tục quản lý các hạng mục ngay cả khi mua sắm thiết bị văn phòng và vật tư tiêu hao thông thường.</x:v>
      </x:c>
      <x:c r="F53" s="50" t="n">
        <x:f t="shared" si="4"/>
        <x:v>1</x:v>
      </x:c>
      <x:c r="G53" s="50" t="n">
        <x:f t="shared" si="5"/>
        <x:v>1</x:v>
      </x:c>
      <x:c r="H53" s="45" t="n">
        <x:v>569</x:v>
      </x:c>
      <x:c r="I53" s="45" t="n">
        <x:v>137</x:v>
      </x:c>
      <x:c r="J53" s="45" t="n">
        <x:v>6</x:v>
      </x:c>
      <x:c r="K53" s="45" t="n">
        <x:v>1</x:v>
      </x:c>
      <x:c r="L53" s="45" t="n">
        <x:v>94</x:v>
      </x:c>
      <x:c r="M53" s="45" t="n">
        <x:v>137</x:v>
      </x:c>
      <x:c r="N53" s="45" t="n">
        <x:v>0.251</x:v>
      </x:c>
      <x:c r="O53" s="45" t="n">
        <x:v>0</x:v>
      </x:c>
      <x:c r="P53" s="45" t="n">
        <x:v>0.9445</x:v>
      </x:c>
      <x:c r="Q53" s="45" t="n">
        <x:v>0.9714</x:v>
      </x:c>
      <x:c r="R53" s="45" t="n">
        <x:v>0.233</x:v>
      </x:c>
      <x:c r="S53" s="45" t="n">
        <x:v>0.511</x:v>
      </x:c>
      <x:c r="T53" s="45" t="n">
        <x:v>1</x:v>
      </x:c>
      <x:c r="U53" s="45" t="n">
        <x:v>0.4</x:v>
      </x:c>
      <x:c r="V53" s="45" t="n">
        <x:v>8.79</x:v>
      </x:c>
      <x:c r="W53" s="45" t="n">
        <x:v>7.3</x:v>
      </x:c>
      <x:c r="X53" s="45" t="n">
        <x:v>0</x:v>
      </x:c>
      <x:c r="Y53" s="45" t="n">
        <x:v>0</x:v>
      </x:c>
      <x:c r="Z53" s="45" t="n">
        <x:v>0</x:v>
      </x:c>
      <x:c r="AA53" s="45" t="n">
        <x:v>0</x:v>
      </x:c>
      <x:c r="AB53" s="50" t="str">
        <x:f t="shared" si="6"/>
        <x:v>V3</x:v>
      </x:c>
      <x:c r="AC53" s="50" t="str">
        <x:f t="shared" si="7"/>
        <x:v>V2</x:v>
      </x:c>
      <x:c r="AD53" s="47" t="str">
        <x:v>Answer: passed / Consumer Decision: answered_partial / QA Grade: partial / Publication: review_required / Publication Reason: missing_expected_facets / Coverage: missing_expected_facets / RAG Coverage: complete / Answerable: True / Evidence: medium_confidence</x:v>
      </x:c>
    </x:row>
    <x:row r="54" ht="42" customHeight="1">
      <x:c r="A54" s="45" t="str">
        <x:v>EBX-Q-053</x:v>
      </x:c>
      <x:c r="B54" s="46" t="str">
        <x:v>Môi trường / Quản trị (Governance) / Tổ chức và hệ thống quản lý trách nhiệm sản phẩm</x:v>
      </x:c>
      <x:c r="C54" s="46" t="str">
        <x:v>Trách nhiệm sản phẩm / Tổ chức và hệ thống quản lý trách nhiệm sản phẩm</x:v>
      </x:c>
      <x:c r="D54" s="48" t="str">
        <x:v>Daewoong Pharmaceutical đang tăng cường năng lực chất lượng trong toàn tổ chức bằng cách thực hiện đào tạo GMP và PV cho toàn thể cán bộ nhân viên. Để quản lý an toàn trong suốt vòng đời của sản phẩm, công ty vận hành hệ thống cảnh giác dược, phát hiện và đánh giá một cách khoa học các trường hợp bất thường và vấn đề an toàn của tất cả các sản phẩm được sản xuất. Đặc biệt, công ty đang nâng cao hệ thống quản lý và tuân thủ các nghĩa vụ báo cáo quy định toàn cầu thông qua các chế độ như RMP, tái đánh giá, báo cáo, tái thẩm định và khuyến cáo sử dụng. Về mặt hệ thống vận hành, dữ liệu an toàn trong toàn bộ quá trình từ phát triển dược phẩm đến giai đoạn bán hàng được quản lý theo tài liệu tiêu chuẩn công việc. Thông tin an toàn được thu thập thông qua nhiều kênh khác nhau như báo cáo tự nguyện, tài liệu, nghiên cứu lâm sàng và các trường hợp ở nước ngoài thông qua hệ thống báo cáo trường hợp bất thường trên trang web, đồng thời đảm bảo độ tin cậy của dữ liệu thông qua các thử nghiệm an toàn và xác nhận phương pháp phân tích trước và sau khi lưu hành.</x:v>
      </x:c>
      <x:c r="E54" s="49" t="str">
        <x:v>Daewoong Pharmaceutical quản lý chất lượng sản phẩm thông qua các tổ chức Quản lý Chất lượng (QM), Đảm bảo Chất lượng (QA) và Kiểm soát Chất lượng (QC) để thực hiện văn bản hóa SOP, thẩm định, quản lý môi trường và quy trình, cũng như công việc kiểm tra và kiểm toán. Ngoài ra, công ty vận hành hệ thống cảnh giác dược để phát hiện và đánh giá một cách khoa học các trường hợp bất thường và vấn đề an toàn trong suốt vòng đời của tất cả các sản phẩm được sản xuất, đồng thời tuân thủ các nghĩa vụ báo cáo quy định toàn cầu thông qua các chế độ như RMP, tái đánh giá, báo cáo, tái thẩm định và khuyến cáo sử dụng.</x:v>
      </x:c>
      <x:c r="F54" s="50" t="n">
        <x:f t="shared" si="4"/>
        <x:v>1</x:v>
      </x:c>
      <x:c r="G54" s="50" t="n">
        <x:f t="shared" si="5"/>
        <x:v>1</x:v>
      </x:c>
      <x:c r="H54" s="45" t="n">
        <x:v>398</x:v>
      </x:c>
      <x:c r="I54" s="45" t="n">
        <x:v>234</x:v>
      </x:c>
      <x:c r="J54" s="45" t="n">
        <x:v>5</x:v>
      </x:c>
      <x:c r="K54" s="45" t="n">
        <x:v>2</x:v>
      </x:c>
      <x:c r="L54" s="45" t="n">
        <x:v>78.8</x:v>
      </x:c>
      <x:c r="M54" s="45" t="n">
        <x:v>116.5</x:v>
      </x:c>
      <x:c r="N54" s="45" t="n">
        <x:v>0.263</x:v>
      </x:c>
      <x:c r="O54" s="45" t="n">
        <x:v>0.116</x:v>
      </x:c>
      <x:c r="P54" s="45" t="n">
        <x:v>0.9209</x:v>
      </x:c>
      <x:c r="Q54" s="45" t="n">
        <x:v>0.9453</x:v>
      </x:c>
      <x:c r="R54" s="45" t="n">
        <x:v>0.529</x:v>
      </x:c>
      <x:c r="S54" s="45" t="n">
        <x:v>0.519</x:v>
      </x:c>
      <x:c r="T54" s="45" t="n">
        <x:v>0.8</x:v>
      </x:c>
      <x:c r="U54" s="45" t="n">
        <x:v>0.8</x:v>
      </x:c>
      <x:c r="V54" s="45" t="n">
        <x:v>7.54</x:v>
      </x:c>
      <x:c r="W54" s="45" t="n">
        <x:v>0</x:v>
      </x:c>
      <x:c r="X54" s="45" t="n">
        <x:v>0</x:v>
      </x:c>
      <x:c r="Y54" s="45" t="n">
        <x:v>0</x:v>
      </x:c>
      <x:c r="Z54" s="45" t="n">
        <x:v>0</x:v>
      </x:c>
      <x:c r="AA54" s="45" t="n">
        <x:v>0</x:v>
      </x:c>
      <x:c r="AB54" s="50" t="str">
        <x:f t="shared" si="6"/>
        <x:v>V2</x:v>
      </x:c>
      <x:c r="AC54" s="50" t="str">
        <x:f t="shared" si="7"/>
        <x:v>Dongryul</x:v>
      </x:c>
      <x:c r="AD54" s="47" t="str">
        <x:v>Answer: passed / Consumer Decision: answered_partial / QA Grade: partial / Publication: review_required / Publication Reason: partial_answer / Coverage: partial_answer / RAG Coverage: insufficient / Answerable: False / Evidence: insufficient</x:v>
      </x:c>
    </x:row>
    <x:row r="55" ht="42" customHeight="1">
      <x:c r="A55" s="45" t="str">
        <x:v>EBX-Q-054</x:v>
      </x:c>
      <x:c r="B55" s="46" t="str">
        <x:v>Môi trường / Quản trị rủi ro (Risk Management) / Quản trị rủi ro môi trường trong toàn bộ vòng đời sản phẩm</x:v>
      </x:c>
      <x:c r="C55" s="46" t="str">
        <x:v>Trách nhiệm sản phẩm / Quản trị rủi ro môi trường trong toàn bộ vòng đời sản phẩm</x:v>
      </x:c>
      <x:c r="D55" s="52"/>
      <x:c r="E55" s="51"/>
      <x:c r="F55" s="50" t="n">
        <x:f t="shared" si="4"/>
        <x:v>0</x:v>
      </x:c>
      <x:c r="G55" s="50" t="n">
        <x:f t="shared" si="5"/>
        <x:v>0</x:v>
      </x:c>
      <x:c r="H55" s="45" t="n">
        <x:v>0</x:v>
      </x:c>
      <x:c r="I55" s="45" t="n">
        <x:v>0</x:v>
      </x:c>
      <x:c r="J55" s="45" t="n">
        <x:v>0</x:v>
      </x:c>
      <x:c r="K55" s="45" t="n">
        <x:v>0</x:v>
      </x:c>
      <x:c r="L55" s="45" t="n">
        <x:v>0</x:v>
      </x:c>
      <x:c r="M55" s="45" t="n">
        <x:v>0</x:v>
      </x:c>
      <x:c r="N55" s="45" t="n">
        <x:v>0</x:v>
      </x:c>
      <x:c r="O55" s="45" t="n">
        <x:v>0</x:v>
      </x:c>
      <x:c r="P55" s="45" t="n">
        <x:v>0</x:v>
      </x:c>
      <x:c r="Q55" s="45" t="n">
        <x:v>0</x:v>
      </x:c>
      <x:c r="R55" s="45" t="n">
        <x:v>0</x:v>
      </x:c>
      <x:c r="S55" s="45" t="n">
        <x:v>0</x:v>
      </x:c>
      <x:c r="T55" s="45" t="n">
        <x:v>0</x:v>
      </x:c>
      <x:c r="U55" s="45" t="n">
        <x:v>0</x:v>
      </x:c>
      <x:c r="V55" s="45" t="n">
        <x:v>0</x:v>
      </x:c>
      <x:c r="W55" s="45" t="n">
        <x:v>0</x:v>
      </x:c>
      <x:c r="X55" s="45" t="n">
        <x:v>0</x:v>
      </x:c>
      <x:c r="Y55" s="45" t="n">
        <x:v>0</x:v>
      </x:c>
      <x:c r="Z55" s="45" t="n">
        <x:v>0</x:v>
      </x:c>
      <x:c r="AA55" s="45" t="n">
        <x:v>0</x:v>
      </x:c>
      <x:c r="AB55" s="50" t="str">
        <x:f t="shared" si="6"/>
        <x:v>Không thể so sánh</x:v>
      </x:c>
      <x:c r="AC55" s="50" t="str">
        <x:f t="shared" si="7"/>
        <x:v>Không thể so sánh</x:v>
      </x:c>
      <x:c r="AD55" s="47" t="str">
        <x:v>Answer: empty / Consumer Decision: blocked_api_status / QA Grade: failed / Publication: blocked / Publication Reason: qa_not_passed / Coverage: writer_empty / RAG Coverage: insufficient / Answerable: False / Evidence: insufficient</x:v>
      </x:c>
    </x:row>
    <x:row r="56" ht="42" customHeight="1">
      <x:c r="A56" s="45" t="str">
        <x:v>EBX-Q-055</x:v>
      </x:c>
      <x:c r="B56" s="46" t="str">
        <x:v>Môi trường / Chỉ số (Metrics) / Hiện trạng thực hiện trách nhiệm môi trường của sản phẩm</x:v>
      </x:c>
      <x:c r="C56" s="46" t="str">
        <x:v>Trách nhiệm sản phẩm / Hiện trạng thực hiện trách nhiệm môi trường của sản phẩm</x:v>
      </x:c>
      <x:c r="D56" s="48" t="str">
        <x:v>Daewoong Pharmaceutical đang thúc đẩy đơn giản hóa bao bì và áp dụng vật liệu đóng gói thân thiện với môi trường nhằm giảm thiểu tác động đến môi trường trong toàn bộ vòng đời sản phẩm. Đặc biệt, đối với nhóm sản phẩm thuốc không kê đơn (OTC), công ty đang triển khai các hoạt động giảm lượng nhựa sử dụng bằng cách tối ưu hóa quy cách bao bì. Các ví dụ điển hình bao gồm: áp dụng bình HDPE 50mL (Screw số 1) cho Daewoong Ursa Soft Capsule 30CP; áp dụng bình HDPE 150mL và 250mL cho Daewoong Ursa Soft Capsule 120CP và Complex Ursa Soft Capsule 80CP để nâng cao hiệu quả vật liệu. Ngoài ra, công ty đang thực hiện giảm phát thải nhựa thông qua việc đơn giản hóa bao bì phù hợp với đặc tính từng sản phẩm, như áp dụng bình HDPE 150mL cho Impactamin Once Tab 120T, và bình HDPE 100mL cho Impactamin Care Tab 120T và Impactamin Premium Tab 60T.</x:v>
      </x:c>
      <x:c r="E56" s="51"/>
      <x:c r="F56" s="50" t="n">
        <x:f t="shared" si="4"/>
        <x:v>1</x:v>
      </x:c>
      <x:c r="G56" s="50" t="n">
        <x:f t="shared" si="5"/>
        <x:v>0</x:v>
      </x:c>
      <x:c r="H56" s="45" t="n">
        <x:v>411</x:v>
      </x:c>
      <x:c r="I56" s="45" t="n">
        <x:v>0</x:v>
      </x:c>
      <x:c r="J56" s="45" t="n">
        <x:v>4</x:v>
      </x:c>
      <x:c r="K56" s="45" t="n">
        <x:v>0</x:v>
      </x:c>
      <x:c r="L56" s="45" t="n">
        <x:v>102</x:v>
      </x:c>
      <x:c r="M56" s="45" t="n">
        <x:v>0</x:v>
      </x:c>
      <x:c r="N56" s="45" t="n">
        <x:v>0.371</x:v>
      </x:c>
      <x:c r="O56" s="45" t="n">
        <x:v>0</x:v>
      </x:c>
      <x:c r="P56" s="45" t="n">
        <x:v>0.8628</x:v>
      </x:c>
      <x:c r="Q56" s="45" t="n">
        <x:v>0</x:v>
      </x:c>
      <x:c r="R56" s="45" t="n">
        <x:v>0.337</x:v>
      </x:c>
      <x:c r="S56" s="45" t="n">
        <x:v>0</x:v>
      </x:c>
      <x:c r="T56" s="45" t="n">
        <x:v>0.4</x:v>
      </x:c>
      <x:c r="U56" s="45" t="n">
        <x:v>0</x:v>
      </x:c>
      <x:c r="V56" s="45" t="n">
        <x:v>2.43</x:v>
      </x:c>
      <x:c r="W56" s="45" t="n">
        <x:v>0</x:v>
      </x:c>
      <x:c r="X56" s="45" t="n">
        <x:v>30</x:v>
      </x:c>
      <x:c r="Y56" s="45" t="n">
        <x:v>0</x:v>
      </x:c>
      <x:c r="Z56" s="45" t="n">
        <x:v>0</x:v>
      </x:c>
      <x:c r="AA56" s="45" t="n">
        <x:v>0</x:v>
      </x:c>
      <x:c r="AB56" s="50" t="str">
        <x:f t="shared" si="6"/>
        <x:v>Không thể so sánh</x:v>
      </x:c>
      <x:c r="AC56" s="50" t="str">
        <x:f t="shared" si="7"/>
        <x:v>Không thể so sánh</x:v>
      </x:c>
      <x:c r="AD56" s="47" t="str">
        <x:v>Answer: failed / Consumer Decision: blocked_api_status / QA Grade: failed / Publication: blocked / Publication Reason: qa_not_passed / Coverage: writer_empty / RAG Coverage: insufficient / Answerable: False / Evidence: insufficient</x:v>
      </x:c>
    </x:row>
    <x:row r="57" ht="42" customHeight="1">
      <x:c r="A57" s="45" t="str">
        <x:v>EBX-Q-056</x:v>
      </x:c>
      <x:c r="B57" s="46" t="str">
        <x:v>Xã hội / Chiến lược (Strategy) / Chính sách phát triển tài năng và quản trị vốn nhân lực</x:v>
      </x:c>
      <x:c r="C57" s="46" t="str">
        <x:v>Vốn nhân lực / Chính sách phát triển tài năng và quản trị vốn nhân lực</x:v>
      </x:c>
      <x:c r="D57" s="48" t="str">
        <x:v>Để thực hiện giá trị về sự công bằng và tự chủ, Daewoong Pharmaceutical cung cấp một môi trường làm việc an toàn và hạnh phúc cho cán bộ nhân viên, đồng thời vận hành nhiều chương trình đa dạng để phát triển tài năng. Đại diện pháp luật đã chính thức bày tỏ quyết tâm trở thành doanh nghiệp ESG toàn cầu thông qua quản trị lấy con người làm trung tâm một cách bền vững, từ đó đưa ra định hướng quản trị vốn nhân lực.</x:v>
      </x:c>
      <x:c r="E57" s="49" t="str">
        <x:v>Để thực hiện giá trị về sự công bằng và tự chủ, Daewoong Pharmaceutical cung cấp một môi trường làm việc an toàn và hạnh phúc cho cán bộ nhân viên, đồng thời vận hành nhiều chương trình đa dạng để phát triển tài năng. Công ty cho biết định hướng sẽ trở thành doanh nghiệp ESG toàn cầu thông qua quản trị lấy con người làm trung tâm một cách bền vững.</x:v>
      </x:c>
      <x:c r="F57" s="50" t="n">
        <x:f t="shared" si="4"/>
        <x:v>1</x:v>
      </x:c>
      <x:c r="G57" s="50" t="n">
        <x:f t="shared" si="5"/>
        <x:v>1</x:v>
      </x:c>
      <x:c r="H57" s="45" t="n">
        <x:v>166</x:v>
      </x:c>
      <x:c r="I57" s="45" t="n">
        <x:v>139</x:v>
      </x:c>
      <x:c r="J57" s="45" t="n">
        <x:v>2</x:v>
      </x:c>
      <x:c r="K57" s="45" t="n">
        <x:v>2</x:v>
      </x:c>
      <x:c r="L57" s="45" t="n">
        <x:v>82.5</x:v>
      </x:c>
      <x:c r="M57" s="45" t="n">
        <x:v>69</x:v>
      </x:c>
      <x:c r="N57" s="45" t="n">
        <x:v>0.006</x:v>
      </x:c>
      <x:c r="O57" s="45" t="n">
        <x:v>0.174</x:v>
      </x:c>
      <x:c r="P57" s="45" t="n">
        <x:v>0.9722</x:v>
      </x:c>
      <x:c r="Q57" s="45" t="n">
        <x:v>0.9355</x:v>
      </x:c>
      <x:c r="R57" s="45" t="n">
        <x:v>0.608</x:v>
      </x:c>
      <x:c r="S57" s="45" t="n">
        <x:v>0.683</x:v>
      </x:c>
      <x:c r="T57" s="45" t="n">
        <x:v>0.833</x:v>
      </x:c>
      <x:c r="U57" s="45" t="n">
        <x:v>0.333</x:v>
      </x:c>
      <x:c r="V57" s="45" t="n">
        <x:v>12.05</x:v>
      </x:c>
      <x:c r="W57" s="45" t="n">
        <x:v>14.39</x:v>
      </x:c>
      <x:c r="X57" s="45" t="n">
        <x:v>0</x:v>
      </x:c>
      <x:c r="Y57" s="45" t="n">
        <x:v>0</x:v>
      </x:c>
      <x:c r="Z57" s="45" t="n">
        <x:v>0</x:v>
      </x:c>
      <x:c r="AA57" s="45" t="n">
        <x:v>0</x:v>
      </x:c>
      <x:c r="AB57" s="50" t="str">
        <x:f t="shared" si="6"/>
        <x:v>V3</x:v>
      </x:c>
      <x:c r="AC57" s="50" t="str">
        <x:f t="shared" si="7"/>
        <x:v>V2</x:v>
      </x:c>
      <x:c r="AD57" s="47" t="str">
        <x:v>Answer: passed / Consumer Decision: answered_partial / QA Grade: partial / Publication: review_required / Publication Reason: missing_expected_facets / Coverage: missing_expected_facets / RAG Coverage: insufficient / Answerable: False / Evidence: insufficient</x:v>
      </x:c>
    </x:row>
    <x:row r="58" ht="42" customHeight="1">
      <x:c r="A58" s="45" t="str">
        <x:v>EBX-Q-057</x:v>
      </x:c>
      <x:c r="B58" s="46" t="str">
        <x:v>Xã hội / Quản trị (Governance) / Tổ chức và hệ thống quản lý vốn nhân lực</x:v>
      </x:c>
      <x:c r="C58" s="46" t="str">
        <x:v>Vốn nhân lực / Tổ chức và hệ thống quản lý vốn nhân lực</x:v>
      </x:c>
      <x:c r="D58" s="52"/>
      <x:c r="E58" s="51"/>
      <x:c r="F58" s="50" t="n">
        <x:f t="shared" si="4"/>
        <x:v>0</x:v>
      </x:c>
      <x:c r="G58" s="50" t="n">
        <x:f t="shared" si="5"/>
        <x:v>0</x:v>
      </x:c>
      <x:c r="H58" s="45" t="n">
        <x:v>0</x:v>
      </x:c>
      <x:c r="I58" s="45" t="n">
        <x:v>0</x:v>
      </x:c>
      <x:c r="J58" s="45" t="n">
        <x:v>0</x:v>
      </x:c>
      <x:c r="K58" s="45" t="n">
        <x:v>0</x:v>
      </x:c>
      <x:c r="L58" s="45" t="n">
        <x:v>0</x:v>
      </x:c>
      <x:c r="M58" s="45" t="n">
        <x:v>0</x:v>
      </x:c>
      <x:c r="N58" s="45" t="n">
        <x:v>0</x:v>
      </x:c>
      <x:c r="O58" s="45" t="n">
        <x:v>0</x:v>
      </x:c>
      <x:c r="P58" s="45" t="n">
        <x:v>0</x:v>
      </x:c>
      <x:c r="Q58" s="45" t="n">
        <x:v>0</x:v>
      </x:c>
      <x:c r="R58" s="45" t="n">
        <x:v>0</x:v>
      </x:c>
      <x:c r="S58" s="45" t="n">
        <x:v>0</x:v>
      </x:c>
      <x:c r="T58" s="45" t="n">
        <x:v>0</x:v>
      </x:c>
      <x:c r="U58" s="45" t="n">
        <x:v>0</x:v>
      </x:c>
      <x:c r="V58" s="45" t="n">
        <x:v>0</x:v>
      </x:c>
      <x:c r="W58" s="45" t="n">
        <x:v>0</x:v>
      </x:c>
      <x:c r="X58" s="45" t="n">
        <x:v>0</x:v>
      </x:c>
      <x:c r="Y58" s="45" t="n">
        <x:v>0</x:v>
      </x:c>
      <x:c r="Z58" s="45" t="n">
        <x:v>0</x:v>
      </x:c>
      <x:c r="AA58" s="45" t="n">
        <x:v>0</x:v>
      </x:c>
      <x:c r="AB58" s="50" t="str">
        <x:f t="shared" si="6"/>
        <x:v>Không thể so sánh</x:v>
      </x:c>
      <x:c r="AC58" s="50" t="str">
        <x:f t="shared" si="7"/>
        <x:v>Không thể so sánh</x:v>
      </x:c>
      <x:c r="AD58" s="47" t="str">
        <x:v>Answer: failed / Consumer Decision: blocked_api_status / QA Grade: failed / Publication: blocked / Publication Reason: qa_not_passed / Coverage: writer_empty / RAG Coverage: insufficient / Answerable: False / Evidence: insufficient</x:v>
      </x:c>
    </x:row>
    <x:row r="59" ht="42" customHeight="1">
      <x:c r="A59" s="45" t="str">
        <x:v>EBX-Q-058</x:v>
      </x:c>
      <x:c r="B59" s="46" t="str">
        <x:v>Xã hội / Quản trị rủi ro (Risk Management) / Quản trị rủi ro liên quan đến vốn nhân lực</x:v>
      </x:c>
      <x:c r="C59" s="46" t="str">
        <x:v>Vốn nhân lực / Quản trị rủi ro liên quan đến vốn nhân lực</x:v>
      </x:c>
      <x:c r="D59" s="52"/>
      <x:c r="E59" s="51"/>
      <x:c r="F59" s="50" t="n">
        <x:f t="shared" si="4"/>
        <x:v>0</x:v>
      </x:c>
      <x:c r="G59" s="50" t="n">
        <x:f t="shared" si="5"/>
        <x:v>0</x:v>
      </x:c>
      <x:c r="H59" s="45" t="n">
        <x:v>0</x:v>
      </x:c>
      <x:c r="I59" s="45" t="n">
        <x:v>0</x:v>
      </x:c>
      <x:c r="J59" s="45" t="n">
        <x:v>0</x:v>
      </x:c>
      <x:c r="K59" s="45" t="n">
        <x:v>0</x:v>
      </x:c>
      <x:c r="L59" s="45" t="n">
        <x:v>0</x:v>
      </x:c>
      <x:c r="M59" s="45" t="n">
        <x:v>0</x:v>
      </x:c>
      <x:c r="N59" s="45" t="n">
        <x:v>0</x:v>
      </x:c>
      <x:c r="O59" s="45" t="n">
        <x:v>0</x:v>
      </x:c>
      <x:c r="P59" s="45" t="n">
        <x:v>0</x:v>
      </x:c>
      <x:c r="Q59" s="45" t="n">
        <x:v>0</x:v>
      </x:c>
      <x:c r="R59" s="45" t="n">
        <x:v>0</x:v>
      </x:c>
      <x:c r="S59" s="45" t="n">
        <x:v>0</x:v>
      </x:c>
      <x:c r="T59" s="45" t="n">
        <x:v>0</x:v>
      </x:c>
      <x:c r="U59" s="45" t="n">
        <x:v>0</x:v>
      </x:c>
      <x:c r="V59" s="45" t="n">
        <x:v>0</x:v>
      </x:c>
      <x:c r="W59" s="45" t="n">
        <x:v>0</x:v>
      </x:c>
      <x:c r="X59" s="45" t="n">
        <x:v>0</x:v>
      </x:c>
      <x:c r="Y59" s="45" t="n">
        <x:v>0</x:v>
      </x:c>
      <x:c r="Z59" s="45" t="n">
        <x:v>0</x:v>
      </x:c>
      <x:c r="AA59" s="45" t="n">
        <x:v>0</x:v>
      </x:c>
      <x:c r="AB59" s="50" t="str">
        <x:f t="shared" si="6"/>
        <x:v>Không thể so sánh</x:v>
      </x:c>
      <x:c r="AC59" s="50" t="str">
        <x:f t="shared" si="7"/>
        <x:v>Không thể so sánh</x:v>
      </x:c>
      <x:c r="AD59" s="47" t="str">
        <x:v>Answer: empty / Consumer Decision: blocked_api_status / QA Grade: failed / Publication: blocked / Publication Reason: unaccepted_answer_status / Coverage: empty_evidence / RAG Coverage: no_evidence / Answerable: False / Evidence: no_evidence</x:v>
      </x:c>
    </x:row>
    <x:row r="60" ht="42" customHeight="1">
      <x:c r="A60" s="45" t="str">
        <x:v>EBX-Q-059</x:v>
      </x:c>
      <x:c r="B60" s="46" t="str">
        <x:v>Xã hội / Chỉ số (Metrics) / Hiện trạng đào tạo và phát triển nhân tài</x:v>
      </x:c>
      <x:c r="C60" s="46" t="str">
        <x:v>Vốn nhân lực / Hiện trạng đào tạo và phát triển nhân tài</x:v>
      </x:c>
      <x:c r="D60" s="52"/>
      <x:c r="E60" s="49" t="str">
        <x:v>Theo tài liệu đề xuất đang được xem xét, công ty cũng là đơn vị đầu tiên trong ngành áp dụng hệ thống lương theo vị trí công việc vào năm 2016, nỗ lực nuôi dưỡng các nhà lãnh đạo nữ thế hệ tiếp theo bằng cách cung cấp cơ hội bình đẳng không phân biệt giới tính.</x:v>
      </x:c>
      <x:c r="F60" s="50" t="n">
        <x:f t="shared" si="4"/>
        <x:v>0</x:v>
      </x:c>
      <x:c r="G60" s="50" t="n">
        <x:f t="shared" si="5"/>
        <x:v>1</x:v>
      </x:c>
      <x:c r="H60" s="45" t="n">
        <x:v>0</x:v>
      </x:c>
      <x:c r="I60" s="45" t="n">
        <x:v>91</x:v>
      </x:c>
      <x:c r="J60" s="45" t="n">
        <x:v>0</x:v>
      </x:c>
      <x:c r="K60" s="45" t="n">
        <x:v>1</x:v>
      </x:c>
      <x:c r="L60" s="45" t="n">
        <x:v>0</x:v>
      </x:c>
      <x:c r="M60" s="45" t="n">
        <x:v>91</x:v>
      </x:c>
      <x:c r="N60" s="45" t="n">
        <x:v>0</x:v>
      </x:c>
      <x:c r="O60" s="45" t="n">
        <x:v>0</x:v>
      </x:c>
      <x:c r="P60" s="45" t="n">
        <x:v>0</x:v>
      </x:c>
      <x:c r="Q60" s="45" t="n">
        <x:v>1</x:v>
      </x:c>
      <x:c r="R60" s="45" t="n">
        <x:v>0</x:v>
      </x:c>
      <x:c r="S60" s="45" t="n">
        <x:v>0</x:v>
      </x:c>
      <x:c r="T60" s="45" t="n">
        <x:v>0</x:v>
      </x:c>
      <x:c r="U60" s="45" t="n">
        <x:v>0.25</x:v>
      </x:c>
      <x:c r="V60" s="45" t="n">
        <x:v>0</x:v>
      </x:c>
      <x:c r="W60" s="45" t="n">
        <x:v>10.99</x:v>
      </x:c>
      <x:c r="X60" s="45" t="n">
        <x:v>0</x:v>
      </x:c>
      <x:c r="Y60" s="45" t="n">
        <x:v>4</x:v>
      </x:c>
      <x:c r="Z60" s="45" t="n">
        <x:v>1</x:v>
      </x:c>
      <x:c r="AA60" s="45" t="n">
        <x:v>1</x:v>
      </x:c>
      <x:c r="AB60" s="50" t="str">
        <x:f t="shared" si="6"/>
        <x:v>Không thể so sánh</x:v>
      </x:c>
      <x:c r="AC60" s="50" t="str">
        <x:f t="shared" si="7"/>
        <x:v>Không thể so sánh</x:v>
      </x:c>
      <x:c r="AD60" s="47" t="str">
        <x:v>Answer: passed / Consumer Decision: answered_partial / QA Grade: cautious / Publication: review_required / Publication Reason: draft_evidence / Coverage: draft_evidence / RAG Coverage: complete / Answerable: True / Evidence: high_confidence</x:v>
      </x:c>
    </x:row>
    <x:row r="61" ht="42" customHeight="1">
      <x:c r="A61" s="45" t="str">
        <x:v>EBX-Q-060</x:v>
      </x:c>
      <x:c r="B61" s="46" t="str">
        <x:v>Xã hội / Chiến lược (Strategy) / Chính sách và mục tiêu về đa dạng và hòa nhập</x:v>
      </x:c>
      <x:c r="C61" s="46" t="str">
        <x:v>Đa dạng và hòa nhập / Chính sách và mục tiêu về đa dạng và hòa nhập</x:v>
      </x:c>
      <x:c r="D61" s="48" t="str">
        <x:v>Daewoong Pharmaceutical đang tập trung tạo dựng môi trường tuyển dụng hòa nhập nhằm mở rộng việc làm ổn định cho các nhóm đối tượng yếu thế trong tuyển dụng như người khuyết tật và nâng cao tính đa dạng trong tổ chức. Để đạt được điều này, công ty đang mở rộng cơ hội tuyển dụng thực tế bằng cách ghi rõ các ưu tiên dành cho người khuyết tật trong thông báo tuyển dụng theo từng vị trí công việc, đồng thời xây dựng mô hình việc làm bền vững thông qua việc vận hành 'Bear Mart' - cửa hàng tiện lợi nội bộ - với sự hợp tác của các doanh nghiệp chuyên về tuyển dụng người khuyết tật phát triển. Tính đến tháng 12 năm 2025, Bear Mart có 10 người khuyết tật phát triển và 2 chuyên gia công việc đang làm việc, cung cấp môi trường làm việc ổn định thông qua hệ thống 3 ca, mỗi ca 4 người. Dựa trên chính sách tuyển dụng hòa nhập này, Daewoong Pharmaceutical kế hoạch mở rộng quy mô tuyển dụng người khuyết tật lên tổng cộng 11 người vào năm 2026 và sẽ tiếp tục mở rộng cơ hội việc làm dựa trên tính đa dạng và hòa nhập trong tương lai. Ngoài ra, dựa trên giá trị 'tự chủ' và 'tăng trưởng', công ty đã thiết lập và tích cực lan tỏa trong tổ chức các chế độ cho phép cân bằng hài hòa giữa công việc và gia đình. Kết quả là vào năm 2025, công ty đã được chứng nhận và lựa chọn là 'Doanh nghiệp dẫn đầu về thân thiện với gia đình' do Bộ Phụ nữ và Gia đình chủ trì, đạt được thành tựu trong việc tạo dựng văn hóa tổ chức bao hàm mọi giới tính và chu kỳ cuộc đời. Daewoong Pharmaceutical dự định sẽ tiếp tục củng cố văn hóa doanh nghiệp hòa nhập, nơi tất cả các thành viên đều được tôn trọng thông qua môi trường tuyển dụng không phân biệt đối xử và các chế độ thân thiện với gia đình.</x:v>
      </x:c>
      <x:c r="E61" s="49" t="str">
        <x:v>Daewoong Pharmaceutical đang thúc đẩy tạo dựng môi trường tuyển dụng hòa nhập nhằm mở rộng việc làm ổn định cho các nhóm đối tượng yếu thế trong tuyển dụng như người khuyết tật và nâng cao tính đa dạng trong tổ chức. Công ty đang mở rộng cơ hội bằng cách ghi rõ các ưu tiên dành cho người khuyết tật trong thông báo tuyển dụng theo từng vị trí, và xây dựng mô hình việc làm bền vững thông qua cửa hàng tiện lợi nội bộ 'Bear Mart' hợp tác với các doanh nghiệp chuyên tuyển dụng người khuyết tật phát triển. Tính đến tháng 12 năm 2025, có 10 người khuyết tật phát triển đang làm việc tại Bear Mart, và công ty kế hoạch mở rộng quy mô tuyển dụng người khuyết tật lên tổng cộng 11 người vào năm 2026. Theo tài liệu đề xuất đang được xem xét, công ty cũng là đơn vị đầu tiên trong ngành áp dụng hệ thống lương theo vị trí công việc vào năm 2016, cung cấp cơ hội bình đẳng không phân biệt giới tính để hỗ trợ nuôi dưỡng nhân tài nữ và phát huy năng lực lãnh đạo.</x:v>
      </x:c>
      <x:c r="F61" s="50" t="n">
        <x:f t="shared" si="4"/>
        <x:v>1</x:v>
      </x:c>
      <x:c r="G61" s="50" t="n">
        <x:f t="shared" si="5"/>
        <x:v>1</x:v>
      </x:c>
      <x:c r="H61" s="45" t="n">
        <x:v>637</x:v>
      </x:c>
      <x:c r="I61" s="45" t="n">
        <x:v>358</x:v>
      </x:c>
      <x:c r="J61" s="45" t="n">
        <x:v>6</x:v>
      </x:c>
      <x:c r="K61" s="45" t="n">
        <x:v>4</x:v>
      </x:c>
      <x:c r="L61" s="45" t="n">
        <x:v>105.3</x:v>
      </x:c>
      <x:c r="M61" s="45" t="n">
        <x:v>88.8</x:v>
      </x:c>
      <x:c r="N61" s="45" t="n">
        <x:v>0.264</x:v>
      </x:c>
      <x:c r="O61" s="45" t="n">
        <x:v>0.136</x:v>
      </x:c>
      <x:c r="P61" s="45" t="n">
        <x:v>0.9488</x:v>
      </x:c>
      <x:c r="Q61" s="45" t="n">
        <x:v>0.95</x:v>
      </x:c>
      <x:c r="R61" s="45" t="n">
        <x:v>0.46</x:v>
      </x:c>
      <x:c r="S61" s="45" t="n">
        <x:v>0.693</x:v>
      </x:c>
      <x:c r="T61" s="45" t="n">
        <x:v>0.75</x:v>
      </x:c>
      <x:c r="U61" s="45" t="n">
        <x:v>0.25</x:v>
      </x:c>
      <x:c r="V61" s="45" t="n">
        <x:v>6.28</x:v>
      </x:c>
      <x:c r="W61" s="45" t="n">
        <x:v>2.79</x:v>
      </x:c>
      <x:c r="X61" s="45" t="n">
        <x:v>22</x:v>
      </x:c>
      <x:c r="Y61" s="45" t="n">
        <x:v>18</x:v>
      </x:c>
      <x:c r="Z61" s="45" t="n">
        <x:v>1</x:v>
      </x:c>
      <x:c r="AA61" s="45" t="n">
        <x:v>1</x:v>
      </x:c>
      <x:c r="AB61" s="50" t="str">
        <x:f t="shared" si="6"/>
        <x:v>V3</x:v>
      </x:c>
      <x:c r="AC61" s="50" t="str">
        <x:f t="shared" si="7"/>
        <x:v>V2</x:v>
      </x:c>
      <x:c r="AD61" s="47" t="str">
        <x:v>Answer: passed / Consumer Decision: answered_partial / QA Grade: cautious / Publication: review_required / Publication Reason: draft_evidence / Coverage: draft_evidence / RAG Coverage: complete / Answerable: True / Evidence: high_confidence</x:v>
      </x:c>
    </x:row>
    <x:row r="62" ht="42" customHeight="1">
      <x:c r="A62" s="45" t="str">
        <x:v>EBX-Q-061</x:v>
      </x:c>
      <x:c r="B62" s="46" t="str">
        <x:v>Xã hội / Quản trị (Governance) / Hệ thống quản lý đa dạng và hòa nhập</x:v>
      </x:c>
      <x:c r="C62" s="46" t="str">
        <x:v>Đa dạng và Hòa nhập / Hệ thống quản lý đa dạng và hòa nhập</x:v>
      </x:c>
      <x:c r="D62" s="52"/>
      <x:c r="E62" s="49" t="str">
        <x:v>Theo tài liệu đề xuất đang được xem xét, nguyên tắc cấm phân biệt đối xử để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bao gồm người khuyết tật, và nâng cao tính đa dạng trong tổ chức. Daewoong Pharmaceutical có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công việc đầu tiên trong ngành và nuôi dưỡng nhân tài nữ: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một nữ điều hành ở độ tuổi 30 đầu tiên trong ngành dược phẩm đã nhận được giải thưởng Nhà lãnh đạo Đổi mới GPTW.</x:v>
      </x:c>
      <x:c r="F62" s="50" t="n">
        <x:f t="shared" si="4"/>
        <x:v>0</x:v>
      </x:c>
      <x:c r="G62" s="50" t="n">
        <x:f t="shared" si="5"/>
        <x:v>1</x:v>
      </x:c>
      <x:c r="H62" s="45" t="n">
        <x:v>0</x:v>
      </x:c>
      <x:c r="I62" s="45" t="n">
        <x:v>389</x:v>
      </x:c>
      <x:c r="J62" s="45" t="n">
        <x:v>0</x:v>
      </x:c>
      <x:c r="K62" s="45" t="n">
        <x:v>3</x:v>
      </x:c>
      <x:c r="L62" s="45" t="n">
        <x:v>0</x:v>
      </x:c>
      <x:c r="M62" s="45" t="n">
        <x:v>129</x:v>
      </x:c>
      <x:c r="N62" s="45" t="n">
        <x:v>0</x:v>
      </x:c>
      <x:c r="O62" s="45" t="n">
        <x:v>0.234</x:v>
      </x:c>
      <x:c r="P62" s="45" t="n">
        <x:v>0</x:v>
      </x:c>
      <x:c r="Q62" s="45" t="n">
        <x:v>0.8805</x:v>
      </x:c>
      <x:c r="R62" s="45" t="n">
        <x:v>0</x:v>
      </x:c>
      <x:c r="S62" s="45" t="n">
        <x:v>0.955</x:v>
      </x:c>
      <x:c r="T62" s="45" t="n">
        <x:v>0</x:v>
      </x:c>
      <x:c r="U62" s="45" t="n">
        <x:v>0.5</x:v>
      </x:c>
      <x:c r="V62" s="45" t="n">
        <x:v>0</x:v>
      </x:c>
      <x:c r="W62" s="45" t="n">
        <x:v>2.57</x:v>
      </x:c>
      <x:c r="X62" s="45" t="n">
        <x:v>0</x:v>
      </x:c>
      <x:c r="Y62" s="45" t="n">
        <x:v>12</x:v>
      </x:c>
      <x:c r="Z62" s="45" t="n">
        <x:v>1</x:v>
      </x:c>
      <x:c r="AA62" s="45" t="n">
        <x:v>0</x:v>
      </x:c>
      <x:c r="AB62" s="50" t="str">
        <x:f t="shared" si="6"/>
        <x:v>Không thể so sánh</x:v>
      </x:c>
      <x:c r="AC62" s="50" t="str">
        <x:f t="shared" si="7"/>
        <x:v>Không thể so sánh</x:v>
      </x:c>
      <x:c r="AD62" s="47" t="str">
        <x:v>Answer: passed / Consumer Decision: answered_partial / QA Grade: cautious / Publication: review_required / Publication Reason: draft_evidence / Coverage: draft_evidence / RAG Coverage: complete / Answerable: True / Evidence: high_confidence</x:v>
      </x:c>
    </x:row>
    <x:row r="63" ht="42" customHeight="1">
      <x:c r="A63" s="45" t="str">
        <x:v>EBX-Q-062</x:v>
      </x:c>
      <x:c r="B63" s="46" t="str">
        <x:v>Xã hội / Quản trị rủi ro (Risk Management) / Quản trị rủi ro liên quan đến phân biệt đối xử và công bằng</x:v>
      </x:c>
      <x:c r="C63" s="46" t="str">
        <x:v>Đa dạng và Hòa nhập / Quản trị rủi ro liên quan đến phân biệt đối xử và công bằng</x:v>
      </x:c>
      <x:c r="D63" s="48" t="str">
        <x:v>Daewoong Pharmaceutical đang thiết lập và giám sát một cách hệ thống các chính sách và mục tiêu cụ thể, có thể đo lường và khả thi nhằm xóa bỏ phân biệt đối xử và nâng cao tính công bằng trong tổ chức. Đặc biệt, để thúc đẩy sự đa dạng và hòa nhập, bao gồm cả xu hướng tính dục, công ty tập trung tạo dựng văn hóa tổ chức nơi mọi thành viên đều được tôn trọng thông qua việc thiết lập và vận hành các chính sách hiệu quả cùng kế hoạch hành động cụ thể. Như một phần của hoạt động tăng cường công bằng xã hội, công ty không chỉ xóa bỏ phân biệt đối xử mà còn hỗ trợ nâng cao năng lực thực tế cho các nhóm yếu thế. Để đạt được điều này, công ty đang lan tỏa các giá trị hòa nhập cho nhân viên và toàn xã hội bằng cách tài trợ hoặc trực tiếp tham gia vào nhiều dự án hỗ trợ khác nhau như chương trình cố vấn (mentoring) và đào tạo kỹ thuật. Về mặt hệ thống quản trị rủi ro, công ty đã xây dựng và vận hành các cơ chế cứu trợ phù hợp để phòng ngừa trước và ứng phó nhanh chóng với các rủi ro như phân biệt đối xử, quấy rối và quấy rối tình dục có thể xảy ra trong tổ chức. Đặc biệt, bằng cách kiểm tra định kỳ việc tuân thủ nghiêm ngặt các quy trình bảo vệ nhằm bảo vệ nạn nhân và giữ bí mật cho người tố cáo, công ty đảm bảo tính hiệu quả của quy trình quản trị rủi ro và xây dựng môi trường làm việc an tâm cho mọi thành viên.</x:v>
      </x:c>
      <x:c r="E63" s="49" t="str">
        <x:v>Theo tài liệu đánh giá bên ngoài, công ty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khả thi về việc xóa bỏ phân biệt đối xử.</x:v>
      </x:c>
      <x:c r="F63" s="50" t="n">
        <x:f t="shared" si="4"/>
        <x:v>1</x:v>
      </x:c>
      <x:c r="G63" s="50" t="n">
        <x:f t="shared" si="5"/>
        <x:v>1</x:v>
      </x:c>
      <x:c r="H63" s="45" t="n">
        <x:v>559</x:v>
      </x:c>
      <x:c r="I63" s="45" t="n">
        <x:v>115</x:v>
      </x:c>
      <x:c r="J63" s="45" t="n">
        <x:v>6</x:v>
      </x:c>
      <x:c r="K63" s="45" t="n">
        <x:v>2</x:v>
      </x:c>
      <x:c r="L63" s="45" t="n">
        <x:v>92.3</x:v>
      </x:c>
      <x:c r="M63" s="45" t="n">
        <x:v>57</x:v>
      </x:c>
      <x:c r="N63" s="45" t="n">
        <x:v>0.194</x:v>
      </x:c>
      <x:c r="O63" s="45" t="n">
        <x:v>0.053</x:v>
      </x:c>
      <x:c r="P63" s="45" t="n">
        <x:v>0.9656</x:v>
      </x:c>
      <x:c r="Q63" s="45" t="n">
        <x:v>0.9355</x:v>
      </x:c>
      <x:c r="R63" s="45" t="n">
        <x:v>0.139</x:v>
      </x:c>
      <x:c r="S63" s="45" t="n">
        <x:v>0.908</x:v>
      </x:c>
      <x:c r="T63" s="45" t="n">
        <x:v>0.8</x:v>
      </x:c>
      <x:c r="U63" s="45" t="n">
        <x:v>0.2</x:v>
      </x:c>
      <x:c r="V63" s="45" t="n">
        <x:v>5.37</x:v>
      </x:c>
      <x:c r="W63" s="45" t="n">
        <x:v>0</x:v>
      </x:c>
      <x:c r="X63" s="45" t="n">
        <x:v>0</x:v>
      </x:c>
      <x:c r="Y63" s="45" t="n">
        <x:v>0</x:v>
      </x:c>
      <x:c r="Z63" s="45" t="n">
        <x:v>1</x:v>
      </x:c>
      <x:c r="AA63" s="45" t="n">
        <x:v>0</x:v>
      </x:c>
      <x:c r="AB63" s="50" t="str">
        <x:f t="shared" si="6"/>
        <x:v>V3</x:v>
      </x:c>
      <x:c r="AC63" s="50" t="str">
        <x:f t="shared" si="7"/>
        <x:v>V2</x:v>
      </x:c>
      <x:c r="AD63" s="47" t="str">
        <x:v>Answer: passed / Consumer Decision: answered_partial / QA Grade: cautious / Publication: review_required / Publication Reason: assessment_only / Coverage: assessment_only / RAG Coverage: insufficient / Answerable: False / Evidence: insufficient</x:v>
      </x:c>
    </x:row>
    <x:row r="64" ht="42" customHeight="1">
      <x:c r="A64" s="45" t="str">
        <x:v>EBX-Q-063</x:v>
      </x:c>
      <x:c r="B64" s="46" t="str">
        <x:v>Xã hội / Chỉ số (Metrics) / Hiện trạng đa dạng của thành viên</x:v>
      </x:c>
      <x:c r="C64" s="46" t="str">
        <x:v>Đa dạng và Hòa nhập / Hiện trạng đa dạng thành viên</x:v>
      </x:c>
      <x:c r="D64" s="48" t="str">
        <x:v>Daewoong Pharmaceutical đang xây dựng môi trường nơi cán bộ nhân viên có thể cùng nhau phát triển và tạo ra văn hóa tổ chức hòa nhập bằng cách đảm bảo tính đa dạng trong cơ cấu nhân sự như giới tính và độ tuổi. Xem xét hiện trạng cơ cấu nhân viên tính đến năm 2025, lực lượng lao động nam là 1.136 người và lực lượng lao động nữ bao gồm 617 nhân viên chính thức, 41 nhân viên hợp đồng và 133 nhân viên ngoài biên chế, duy trì sự đa dạng về giới tính. Về độ tuổi, có 450 nhân viên dưới 30 tuổi và 1.251 nhân viên từ 30 đến 50 tuổi, vận hành môi trường làm việc nơi các thế hệ khác nhau cùng hòa hợp. Đặc biệt, công ty đang thực hiện giá trị của sự đa dạng và hòa nhập bằng cách mở rộng cơ hội việc làm thực tế cho những đối tượng yếu thế trong xã hội. Tính đến tháng 12 năm 2025, tại Bear Mart có 10 người khuyết tật phát triển và 2 chuyên gia công việc đang làm việc, đồng thời áp dụng hệ thống 3 ca với mỗi nhóm 4 người để cung cấp môi trường làm việc ổn định cho người lao động khuyết tật. Daewoong Pharmaceutical kế hoạch tiếp tục tăng cường chính sách tuyển dụng hòa nhập này để mở rộng quy mô tuyển dụng người khuyết tật lên tổng cộng 11 người vào năm 2026, và sẽ tiếp tục mở rộng cơ hội việc làm cho người khuyết tật dựa trên sự đa dạng và hòa nhập trong tương lai.</x:v>
      </x:c>
      <x:c r="E64" s="49" t="str">
        <x:v>Daewoong Pharmaceutical đang mở rộng việc làm cho các nhóm đối tượng dễ bị tổn thương trong tuyển dụng như người khuyết tật để tạo môi trường tuyển dụng hòa nhập. Theo tài liệu đề xuất đang được xem xét, công ty cũng hỗ trợ phát huy năng lực lãnh đạo của nữ giới bằng cách áp dụng hệ thống lương theo vị trí công việc vào năm 2016, lần đầu tiên trong ngành, cung cấp cơ hội bình đẳng không phân biệt giới tính.</x:v>
      </x:c>
      <x:c r="F64" s="50" t="n">
        <x:f t="shared" si="4"/>
        <x:v>1</x:v>
      </x:c>
      <x:c r="G64" s="50" t="n">
        <x:f t="shared" si="5"/>
        <x:v>1</x:v>
      </x:c>
      <x:c r="H64" s="45" t="n">
        <x:v>573</x:v>
      </x:c>
      <x:c r="I64" s="45" t="n">
        <x:v>140</x:v>
      </x:c>
      <x:c r="J64" s="45" t="n">
        <x:v>6</x:v>
      </x:c>
      <x:c r="K64" s="45" t="n">
        <x:v>2</x:v>
      </x:c>
      <x:c r="L64" s="45" t="n">
        <x:v>94.7</x:v>
      </x:c>
      <x:c r="M64" s="45" t="n">
        <x:v>69.5</x:v>
      </x:c>
      <x:c r="N64" s="45" t="n">
        <x:v>0.239</x:v>
      </x:c>
      <x:c r="O64" s="45" t="n">
        <x:v>0.237</x:v>
      </x:c>
      <x:c r="P64" s="45" t="n">
        <x:v>0.9302</x:v>
      </x:c>
      <x:c r="Q64" s="45" t="n">
        <x:v>0.9429</x:v>
      </x:c>
      <x:c r="R64" s="45" t="n">
        <x:v>0.353</x:v>
      </x:c>
      <x:c r="S64" s="45" t="n">
        <x:v>0.464</x:v>
      </x:c>
      <x:c r="T64" s="45" t="n">
        <x:v>0.667</x:v>
      </x:c>
      <x:c r="U64" s="45" t="n">
        <x:v>0</x:v>
      </x:c>
      <x:c r="V64" s="45" t="n">
        <x:v>6.98</x:v>
      </x:c>
      <x:c r="W64" s="45" t="n">
        <x:v>0</x:v>
      </x:c>
      <x:c r="X64" s="45" t="n">
        <x:v>47</x:v>
      </x:c>
      <x:c r="Y64" s="45" t="n">
        <x:v>4</x:v>
      </x:c>
      <x:c r="Z64" s="45" t="n">
        <x:v>1</x:v>
      </x:c>
      <x:c r="AA64" s="45" t="n">
        <x:v>1</x:v>
      </x:c>
      <x:c r="AB64" s="50" t="str">
        <x:f t="shared" si="6"/>
        <x:v>V3</x:v>
      </x:c>
      <x:c r="AC64" s="50" t="str">
        <x:f t="shared" si="7"/>
        <x:v>V2</x:v>
      </x:c>
      <x:c r="AD64" s="47" t="str">
        <x:v>Answer: passed / Consumer Decision: answered_partial / QA Grade: cautious / Publication: review_required / Publication Reason: draft_evidence / Coverage: draft_evidence / RAG Coverage: complete / Answerable: True / Evidence: high_confidence</x:v>
      </x:c>
    </x:row>
    <x:row r="65" ht="42" customHeight="1">
      <x:c r="A65" s="45" t="str">
        <x:v>EBX-Q-064</x:v>
      </x:c>
      <x:c r="B65" s="46" t="str">
        <x:v>Xã hội / Chiến lược (Strategy) / Chính sách quản lý tính bền vững của chuỗi cung ứng</x:v>
      </x:c>
      <x:c r="C65" s="46" t="str">
        <x:v>Quản lý trách nhiệm chuỗi cung ứng / Chính sách quản lý tính bền vững của chuỗi cung ứng</x:v>
      </x:c>
      <x:c r="D65" s="52" t="str">
        <x:v>Với trọng tâm là ESG TF, Daewoong Pharmaceutical ủng hộ các nguyên tắc và giá trị của PSCI (Pharmaceutical Supply Chain Initiative) nhằm thực hiện quản trị có trách nhiệm và đảm bảo tính bền vững của chuỗi cung ứng trong ngành dược phẩm, đồng thời đang xây dựng hệ thống quản lý ESG chuỗi cung ứng một cách bài bản. Để đạt được điều này, công ty đang nhận diện và quản lý các vấn đề ESG chính có thể phát sinh trong toàn bộ chuỗi cung ứng như an toàn sức khỏe, môi trường, vệ sinh công nghiệp, nhân quyền và lao động, quản trị đạo đức, đồng thời thúc đẩy định hướng cốt lõi là xây dựng chuỗi cung ứng bền vững cùng với các đối tác. Như một phần của việc tăng cường năng lực nội bộ để nâng cao khả năng thực thi, vào tháng 2 năm 2024, công ty đã tổ chức đào tạo PSCI cho ESG TF. Thông qua đó, công ty đã nâng cao mức độ hiểu biết về các tiêu chuẩn quản lý chuỗi cung ứng có trách nhiệm theo yêu cầu của ngành dược phẩm toàn cầu và đạt được thành quả trong việc tạo ra sự đồng thuận trong toàn doanh nghiệp về tầm quan trọng của quản lý ESG chuỗi cung ứng. Ngoài ra, để thực hiện đầy đủ trách nhiệm xã hội đối với việc bảo vệ và bảo tồn môi trường, công ty đã thiết lập và vận hành chính sách mua sắm xanh phản ánh các yếu tố thân thiện với môi trường. Phạm vi áp dụng của chính sách này được mở rộng cho tất cả các cơ sở kinh doanh của công ty, bao gồm không chỉ việc mua nguyên liệu và vật liệu phụ cho mục đích sản xuất mà còn cả việc mua sắm thiết bị văn phòng và vật tư tiêu hao thông thường nhằm giảm thiểu tác động đến môi trường. Hơn nữa, công ty đang xem xét các phương án hỗ trợ đối tác cung cấp sản phẩm xanh một cách ổn định để tính thân thiện với môi trường và tính bền vững có thể lan tỏa thực chất trong chuỗi cung ứng. Thông qua các nền tảng chính sách và nhiệm vụ thực thi này, Daewoong Pharmaceutical đang quản lý rủi ro ESG trong toàn bộ chuỗi cung ứng và thúc đẩy tạo dựng một hệ sinh thái bền vững cùng phát triển với các đối tác.</x:v>
      </x:c>
      <x:c r="E65" s="49" t="str">
        <x:v>Daewoong Pharmaceutical ủng hộ các nguyên tắc và giá trị của PSCI (Pharmaceutical Supply Chain Initiative) nhằm thực hiện quản trị có trách nhiệm và đảm bảo tính bền vững của chuỗi cung ứng trong ngành dược phẩm, đồng thời quản lý một cách bài bản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phụ và thiết bị văn phòng tại tất cả các cơ sở kinh doanh. Công ty đang hợp tác chặt chẽ với các đối tác để thúc đẩy cùng phát triển và áp dụng vật liệu thân thiện với môi trường, đồng thời xem xét các phương án hỗ trợ đối tác cung cấp sản phẩm xanh một cách ổn định.</x:v>
      </x:c>
      <x:c r="F65" s="50" t="n">
        <x:f t="shared" si="4"/>
        <x:v>1</x:v>
      </x:c>
      <x:c r="G65" s="50" t="n">
        <x:f t="shared" si="5"/>
        <x:v>1</x:v>
      </x:c>
      <x:c r="H65" s="45" t="n">
        <x:v>783</x:v>
      </x:c>
      <x:c r="I65" s="45" t="n">
        <x:v>341</x:v>
      </x:c>
      <x:c r="J65" s="45" t="n">
        <x:v>8</x:v>
      </x:c>
      <x:c r="K65" s="45" t="n">
        <x:v>3</x:v>
      </x:c>
      <x:c r="L65" s="45" t="n">
        <x:v>97</x:v>
      </x:c>
      <x:c r="M65" s="45" t="n">
        <x:v>113</x:v>
      </x:c>
      <x:c r="N65" s="45" t="n">
        <x:v>0.251</x:v>
      </x:c>
      <x:c r="O65" s="45" t="n">
        <x:v>0.333</x:v>
      </x:c>
      <x:c r="P65" s="45" t="n">
        <x:v>0.954</x:v>
      </x:c>
      <x:c r="Q65" s="45" t="n">
        <x:v>0.9549</x:v>
      </x:c>
      <x:c r="R65" s="45" t="n">
        <x:v>0.509</x:v>
      </x:c>
      <x:c r="S65" s="45" t="n">
        <x:v>0.806</x:v>
      </x:c>
      <x:c r="T65" s="45" t="n">
        <x:v>1</x:v>
      </x:c>
      <x:c r="U65" s="45" t="n">
        <x:v>1</x:v>
      </x:c>
      <x:c r="V65" s="45" t="n">
        <x:v>3.83</x:v>
      </x:c>
      <x:c r="W65" s="45" t="n">
        <x:v>5.87</x:v>
      </x:c>
      <x:c r="X65" s="45" t="n">
        <x:v>5</x:v>
      </x:c>
      <x:c r="Y65" s="45" t="n">
        <x:v>0</x:v>
      </x:c>
      <x:c r="Z65" s="45" t="n">
        <x:v>0</x:v>
      </x:c>
      <x:c r="AA65" s="45" t="n">
        <x:v>0</x:v>
      </x:c>
      <x:c r="AB65" s="50" t="str">
        <x:f t="shared" si="6"/>
        <x:v>V3</x:v>
      </x:c>
      <x:c r="AC65" s="50" t="str">
        <x:f t="shared" si="7"/>
        <x:v>Hòa</x:v>
      </x:c>
      <x:c r="AD65" s="47" t="str">
        <x:v>Answer: passed / Consumer Decision: answered_partial / QA Grade: partial / Publication: review_required / Publication Reason: missing_expected_facets / Coverage: missing_expected_facets / RAG Coverage: partial / Answerable: True / Evidence: thin_but_usable</x:v>
      </x:c>
    </x:row>
    <x:row r="66" ht="42" customHeight="1">
      <x:c r="A66" s="45" t="str">
        <x:v>EBX-Q-065</x:v>
      </x:c>
      <x:c r="B66" s="46" t="str">
        <x:v>Xã hội / Quản trị (Governance) / Tổ chức và hệ thống quản lý chuỗi cung ứng</x:v>
      </x:c>
      <x:c r="C66" s="46" t="str">
        <x:v>Quản lý trách nhiệm chuỗi cung ứng / Tổ chức và hệ thống quản lý chuỗi cung ứng</x:v>
      </x:c>
      <x:c r="D66" s="52" t="str">
        <x:v>Công ty đang thúc đẩy quản trị bền vững chuỗi cung ứng bằng cách thiết lập rõ ràng vai trò chuyên trách quản lý chuỗi cung ứng trong nhóm ESG. Hệ thống quản trị được vận hành theo cấu trúc trong đó Hội đồng quản trị do CEO làm Chủ tịch giữ vai trò giám sát cuối cùng, và Ủy ban Quản trị ESG thiết lập định hướng tổng thể cho quản trị bền vững chuỗi cung ứng. Ở giai đoạn thực thi, bộ phận chuyên trách ESG và bộ phận mua hàng/thu mua hợp tác chặt chẽ, và để triển khai cụ thể, một ESG TF đã được thành lập với Trưởng nhóm ESG làm trưởng TF. TF này có sự tham gia của các bộ phận liên quan bao gồm CFO, nhóm ESG, nhóm nhân sự, nhóm mua hàng, nhóm công vụ, nhóm CP, nhóm SCM, nhóm QM/QA/QC để xây dựng hệ thống hợp tác hữu cơ. Daewoong Pharmaceutical ủng hộ các nguyên tắc và giá trị của PSCI (Pharmaceutical Supply Chain Initiative) nhằm thực hiện quản trị có trách nhiệm và đảm bảo tính bền vững của chuỗi cung ứng trong ngành dược phẩm, và dựa trên đó, công ty đang thúc đẩy lộ trình xây dựng hệ thống quản lý chuỗi cung ứng. Từ năm 2025 đến 2026, công ty sẽ tập trung vào việc thiết lập tiêu chuẩn đánh giá theo từng lĩnh vực cũng như xây dựng hệ thống vận hành và quản lý; từ năm 2027 đến 2028, công ty kế hoạch nâng cao hệ thống thông qua việc mở rộng chương trình tăng cường năng lực cho các công ty đối tác và tăng cường quản lý rủi ro. Sau đó, vào năm 2029, công ty đặt mục tiêu lan tỏa mô hình này sang các công ty con và pháp nhân nước ngoài để xây dựng một hệ sinh thái chuỗi cung ứng bền vững.</x:v>
      </x:c>
      <x:c r="E66" s="49" t="str">
        <x:v>Theo tài liệu đề xuất đang được xem xét, việc thực hiện thực tế được cấu trúc theo hướng phối hợp chặt chẽ giữa bộ phận mua sắm và bộ phận chuyên trách ESG, trong khi Tổng giám đốc sẽ thẩm định và quyết định cuối cùng về các vấn đề bền vững trong toàn bộ chuỗi cung ứng, đồng thời thảo luận về các phương án ứng phó quy định như hướng dẫn thẩm định chuỗi cung ứng. Tổ chức chuyên trách ESG chịu trách nhiệm ban hành và phổ biến quy tắc ứng xử cho các công ty đối tác, kiểm tra hiện trường, hỗ trợ nâng cao năng lực, đánh giá và quản lý rủi ro chuỗi cung ứng.</x:v>
      </x:c>
      <x:c r="F66" s="50" t="n">
        <x:f t="shared" ref="F66:F96" si="8">IF(LEN(D66)&gt;0,1,0)</x:f>
        <x:v>1</x:v>
      </x:c>
      <x:c r="G66" s="50" t="n">
        <x:f t="shared" ref="G66:G96" si="9">IF(LEN(E66)&gt;0,1,0)</x:f>
        <x:v>1</x:v>
      </x:c>
      <x:c r="H66" s="45" t="n">
        <x:v>661</x:v>
      </x:c>
      <x:c r="I66" s="45" t="n">
        <x:v>193</x:v>
      </x:c>
      <x:c r="J66" s="45" t="n">
        <x:v>7</x:v>
      </x:c>
      <x:c r="K66" s="45" t="n">
        <x:v>2</x:v>
      </x:c>
      <x:c r="L66" s="45" t="n">
        <x:v>93.6</x:v>
      </x:c>
      <x:c r="M66" s="45" t="n">
        <x:v>96</x:v>
      </x:c>
      <x:c r="N66" s="45" t="n">
        <x:v>0.271</x:v>
      </x:c>
      <x:c r="O66" s="45" t="n">
        <x:v>0.26</x:v>
      </x:c>
      <x:c r="P66" s="45" t="n">
        <x:v>0.9458</x:v>
      </x:c>
      <x:c r="Q66" s="45" t="n">
        <x:v>0.9068</x:v>
      </x:c>
      <x:c r="R66" s="45" t="n">
        <x:v>0.534</x:v>
      </x:c>
      <x:c r="S66" s="45" t="n">
        <x:v>0.609</x:v>
      </x:c>
      <x:c r="T66" s="45" t="n">
        <x:v>0.75</x:v>
      </x:c>
      <x:c r="U66" s="45" t="n">
        <x:v>0.75</x:v>
      </x:c>
      <x:c r="V66" s="45" t="n">
        <x:v>6.05</x:v>
      </x:c>
      <x:c r="W66" s="45" t="n">
        <x:v>0</x:v>
      </x:c>
      <x:c r="X66" s="45" t="n">
        <x:v>20</x:v>
      </x:c>
      <x:c r="Y66" s="45" t="n">
        <x:v>0</x:v>
      </x:c>
      <x:c r="Z66" s="45" t="n">
        <x:v>1</x:v>
      </x:c>
      <x:c r="AA66" s="45" t="n">
        <x:v>0</x:v>
      </x:c>
      <x:c r="AB66" s="50" t="str">
        <x:f t="shared" ref="AB66:AB96" si="10">IF(AND($F66=1,$G66=1),IF(R66&gt;S66,"V2",IF(S66&gt;R66,"V3","동률")),"비교불가")</x:f>
        <x:v>V3</x:v>
      </x:c>
      <x:c r="AC66" s="50" t="str">
        <x:f t="shared" ref="AC66:AC96" si="11">IF(AND($F66=1,$G66=1),IF(T66&gt;U66,"V2",IF(U66&gt;T66,"V3","동률")),"비교불가")</x:f>
        <x:v>Hòa</x:v>
      </x:c>
      <x:c r="AD66" s="47" t="str">
        <x:v>Answer: passed / Consumer Decision: answered_partial / QA Grade: cautious / Publication: review_required / Publication Reason: draft_evidence / Coverage: draft_evidence / RAG Coverage: insufficient / Answerable: False / Evidence: insufficient</x:v>
      </x:c>
    </x:row>
    <x:row r="67" ht="42" customHeight="1">
      <x:c r="A67" s="45" t="str">
        <x:v>EBX-Q-066</x:v>
      </x:c>
      <x:c r="B67" s="46" t="str">
        <x:v>Xã hội / Quản trị rủi ro (Risk Management) / Quản lý rủi ro ESG chuỗi cung ứng</x:v>
      </x:c>
      <x:c r="C67" s="46" t="str">
        <x:v>Quản lý trách nhiệm chuỗi cung ứng / Quản lý rủi ro ESG chuỗi cung ứng</x:v>
      </x:c>
      <x:c r="D67" s="48" t="str">
        <x:v>Daewoong Pharmaceutical đang thúc đẩy xây dựng hệ sinh thái chuỗi cung ứng bền vững bằng cách thiết lập rõ ràng vai trò chuyên trách quản lý chuỗi cung ứng trong nhóm ESG. Công ty mong muốn xây dựng chuỗi cung ứng bền vững bằng cách áp dụng các tiêu chuẩn quản lý toàn diện bao gồm quyền lao động, an toàn sức khỏe, môi trường, đạo đức và toàn bộ các khía cạnh ESG, song song với việc nâng cao năng lực cạnh tranh kinh doanh của các công ty đối tác. Để nhận diện và quản lý trước các rủi ro bền vững đa dạng có thể phát sinh trong chuỗi cung ứng, công ty đang tích hợp nghĩa vụ thẩm định vào hệ thống quản lý rủi ro chuỗi cung ứng, đồng thời tích cực hỗ trợ các công ty đối tác tự giác thực hiện quy tắc ứng xử và thực hành quản trị bền vững. Ngoài ra, công ty đã thiết lập và đang vận hành lộ trình xây dựng hệ thống quản lý chuỗi cung ứng theo từng giai đoạn. Từ năm 2025 đến 2026, công ty sẽ tập trung vào việc lập tiêu chuẩn đánh giá theo từng lĩnh vực và xây dựng hệ thống vận hành, quản lý; từ năm 2027 đến 2028, kế hoạch là nâng cao hệ thống bằng cách mở rộng các chương trình nâng cao năng lực cho công ty đối tác và tăng cường quản lý rủi ro. Sau đó, vào năm 2029, công ty dự định hoàn thiện hệ thống quản lý chuỗi cung ứng tích hợp bằng cách mở rộng mô hình này sang các công ty con và pháp nhân nước ngoài.</x:v>
      </x:c>
      <x:c r="E67" s="51"/>
      <x:c r="F67" s="50" t="n">
        <x:f t="shared" si="8"/>
        <x:v>1</x:v>
      </x:c>
      <x:c r="G67" s="50" t="n">
        <x:f t="shared" si="9"/>
        <x:v>0</x:v>
      </x:c>
      <x:c r="H67" s="45" t="n">
        <x:v>521</x:v>
      </x:c>
      <x:c r="I67" s="45" t="n">
        <x:v>0</x:v>
      </x:c>
      <x:c r="J67" s="45" t="n">
        <x:v>6</x:v>
      </x:c>
      <x:c r="K67" s="45" t="n">
        <x:v>0</x:v>
      </x:c>
      <x:c r="L67" s="45" t="n">
        <x:v>86</x:v>
      </x:c>
      <x:c r="M67" s="45" t="n">
        <x:v>0</x:v>
      </x:c>
      <x:c r="N67" s="45" t="n">
        <x:v>0.397</x:v>
      </x:c>
      <x:c r="O67" s="45" t="n">
        <x:v>0</x:v>
      </x:c>
      <x:c r="P67" s="45" t="n">
        <x:v>0.9199</x:v>
      </x:c>
      <x:c r="Q67" s="45" t="n">
        <x:v>0</x:v>
      </x:c>
      <x:c r="R67" s="45" t="n">
        <x:v>0.485</x:v>
      </x:c>
      <x:c r="S67" s="45" t="n">
        <x:v>0</x:v>
      </x:c>
      <x:c r="T67" s="45" t="n">
        <x:v>1</x:v>
      </x:c>
      <x:c r="U67" s="45" t="n">
        <x:v>0</x:v>
      </x:c>
      <x:c r="V67" s="45" t="n">
        <x:v>7.68</x:v>
      </x:c>
      <x:c r="W67" s="45" t="n">
        <x:v>0</x:v>
      </x:c>
      <x:c r="X67" s="45" t="n">
        <x:v>20</x:v>
      </x:c>
      <x:c r="Y67" s="45" t="n">
        <x:v>0</x:v>
      </x:c>
      <x:c r="Z67" s="45" t="n">
        <x:v>0</x:v>
      </x:c>
      <x:c r="AA67" s="45" t="n">
        <x:v>0</x:v>
      </x:c>
      <x:c r="AB67" s="50" t="str">
        <x:f t="shared" si="10"/>
        <x:v>Không thể so sánh</x:v>
      </x:c>
      <x:c r="AC67" s="50" t="str">
        <x:f t="shared" si="11"/>
        <x:v>Không thể so sánh</x:v>
      </x:c>
      <x:c r="AD67" s="47" t="str">
        <x:v>Answer: failed / Consumer Decision: blocked_api_status / QA Grade: failed / Publication: blocked / Publication Reason: qa_not_passed / Coverage: writer_empty / RAG Coverage: insufficient / Answerable: False / Evidence: insufficient</x:v>
      </x:c>
    </x:row>
    <x:row r="68" ht="42" customHeight="1">
      <x:c r="A68" s="45" t="str">
        <x:v>EBX-Q-067</x:v>
      </x:c>
      <x:c r="B68" s="46" t="str">
        <x:v>Xã hội / Chỉ số (Metrics) / Hiện trạng đánh giá và quản lý ESG của nhà cung cấp</x:v>
      </x:c>
      <x:c r="C68" s="46" t="str">
        <x:v>Quản lý trách nhiệm chuỗi cung ứng / Hiện trạng đánh giá và quản lý ESG của nhà cung cấp</x:v>
      </x:c>
      <x:c r="D68" s="48" t="str">
        <x:v>Để nâng cao hiệu quả của hệ thống quản lý quyền con người trong chuỗi cung ứng, Daewoong Pharmaceutical công bố kết quả đánh giá và hiện trạng cải thiện hàng năm trong Báo cáo Phát triển Bền vững, đồng thời liên tục nâng cấp hệ thống đánh giá bằng cách tiếp thu ý kiến từ các bên liên quan. Công ty vận hành hệ thống nhận diện trước các rủi ro tiềm ẩn và tìm kiếm cơ hội cải thiện trong chuỗi cung ứng thông qua việc thực hiện đánh giá ESG định kỳ hàng năm bằng hình thức tự khảo sát đối với các nhà cung cấp. Đánh giá ESG bao gồm 3 lĩnh vực là Vận hành, Môi trường, Quyền con người &amp; Lao động với tổng cộng 26 hạng mục chi tiết, được chẩn đoán theo tiêu chuẩn đánh giá 3 cấp độ: 'Có (Xuất sắc), Bổ sung (Vận hành một phần), Không (Thiếu sót)'. Cụ thể, lĩnh vực Vận hành đánh giá ý chí quản trị ESG, thẩm định và giám sát chuỗi cung ứng, công bố thông tin; lĩnh vực Môi trường kiểm tra các sản phẩm và quy trình thân thiện với môi trường, biến đổi khí hậu, phòng chống ô nhiễm. Ngoài ra, lĩnh vực Quyền con người &amp; Lao động tập trung kiểm tra các hạng mục về chống phân biệt đối xử, lao động cưỡng bức, điều kiện làm việc, an toàn sức khỏe và đạo đức. Toàn bộ quy trình quản lý được thực hiện một cách hệ thống qua 5 bước: lựa chọn nhà cung cấp đối tượng, thực hiện khảo sát tự chẩn đoán, thẩm định thực địa, phân tích kết quả và xác định các hạng mục rủi ro cao, phản hồi kết quả và hỗ trợ. Đặc biệt, khi các nhiệm vụ cần cải thiện được đưa ra thông qua đánh giá, công ty hỗ trợ tăng cường năng lực ESG thực tế cho nhà cung cấp bằng cách phân chia thành ngắn hạn và dài hạn để thiết lập kế hoạch thực hiện cụ thể. Tính tổng cộng cho Daewoong và Daewoong Pharmaceutical, tổng số nhà cung cấp mà tổ chức đang quản lý tính đến năm 2025 là 68 công ty.</x:v>
      </x:c>
      <x:c r="E68" s="51"/>
      <x:c r="F68" s="50" t="n">
        <x:f t="shared" si="8"/>
        <x:v>1</x:v>
      </x:c>
      <x:c r="G68" s="50" t="n">
        <x:f t="shared" si="9"/>
        <x:v>0</x:v>
      </x:c>
      <x:c r="H68" s="45" t="n">
        <x:v>717</x:v>
      </x:c>
      <x:c r="I68" s="45" t="n">
        <x:v>0</x:v>
      </x:c>
      <x:c r="J68" s="45" t="n">
        <x:v>8</x:v>
      </x:c>
      <x:c r="K68" s="45" t="n">
        <x:v>0</x:v>
      </x:c>
      <x:c r="L68" s="45" t="n">
        <x:v>88.8</x:v>
      </x:c>
      <x:c r="M68" s="45" t="n">
        <x:v>0</x:v>
      </x:c>
      <x:c r="N68" s="45" t="n">
        <x:v>0.212</x:v>
      </x:c>
      <x:c r="O68" s="45" t="n">
        <x:v>0</x:v>
      </x:c>
      <x:c r="P68" s="45" t="n">
        <x:v>0.9318</x:v>
      </x:c>
      <x:c r="Q68" s="45" t="n">
        <x:v>0</x:v>
      </x:c>
      <x:c r="R68" s="45" t="n">
        <x:v>0.548</x:v>
      </x:c>
      <x:c r="S68" s="45" t="n">
        <x:v>0</x:v>
      </x:c>
      <x:c r="T68" s="45" t="n">
        <x:v>1</x:v>
      </x:c>
      <x:c r="U68" s="45" t="n">
        <x:v>0</x:v>
      </x:c>
      <x:c r="V68" s="45" t="n">
        <x:v>4.18</x:v>
      </x:c>
      <x:c r="W68" s="45" t="n">
        <x:v>0</x:v>
      </x:c>
      <x:c r="X68" s="45" t="n">
        <x:v>12</x:v>
      </x:c>
      <x:c r="Y68" s="45" t="n">
        <x:v>0</x:v>
      </x:c>
      <x:c r="Z68" s="45" t="n">
        <x:v>0</x:v>
      </x:c>
      <x:c r="AA68" s="45" t="n">
        <x:v>0</x:v>
      </x:c>
      <x:c r="AB68" s="50" t="str">
        <x:f t="shared" si="10"/>
        <x:v>Không thể so sánh</x:v>
      </x:c>
      <x:c r="AC68" s="50" t="str">
        <x:f t="shared" si="11"/>
        <x:v>Không thể so sánh</x:v>
      </x:c>
      <x:c r="AD68" s="47" t="str">
        <x:v>Answer: failed / Consumer Decision: blocked_api_status / QA Grade: failed / Publication: blocked / Publication Reason: qa_not_passed / Coverage: writer_empty / RAG Coverage: insufficient / Answerable: False / Evidence: insufficient</x:v>
      </x:c>
    </x:row>
    <x:row r="69" ht="42" customHeight="1">
      <x:c r="A69" s="45" t="str">
        <x:v>EBX-Q-068</x:v>
      </x:c>
      <x:c r="B69" s="46" t="str">
        <x:v>Xã hội / Chiến lược (Strategy) / Chính sách đóng góp xã hội và tham gia cộng đồng địa phương</x:v>
      </x:c>
      <x:c r="C69" s="46" t="str">
        <x:v>Tác động cộng đồng địa phương / Chính sách đóng góp xã hội và tham gia cộng đồng địa phương</x:v>
      </x:c>
      <x:c r="D69" s="48" t="str">
        <x:v>Daewoong Pharmaceutical đang thúc đẩy quản trị ESG nhằm giải quyết các vấn đề của cộng đồng địa phương bằng cách kết hợp trách nhiệm xã hội với công nghệ tiên tiến. Đặc biệt, để xóa bỏ khoảng cách về sức khỏe tại các khu vực bị cô lập, nơi khả năng tiếp cận y tế còn thấp, công ty đang triển khai hỗ trợ y tế tại chỗ bằng cách tận dụng công nghệ chăm sóc sức khỏe kỹ thuật số, với mục tiêu cung cấp các dịch vụ chăm sóc sức khỏe kỹ thuật số bền vững cho các khu vực này. Để đạt được điều đó, công ty kế hoạch mở rộng các hoạt động đóng góp xã hội thông qua hợp tác với các đối tác và thực hành các giá trị ESG trong đời sống hàng ngày, từ đó xây dựng mối quan hệ tin cậy vững chắc hơn với cộng đồng địa phương.</x:v>
      </x:c>
      <x:c r="E69" s="51"/>
      <x:c r="F69" s="50" t="n">
        <x:f t="shared" si="8"/>
        <x:v>1</x:v>
      </x:c>
      <x:c r="G69" s="50" t="n">
        <x:f t="shared" si="9"/>
        <x:v>0</x:v>
      </x:c>
      <x:c r="H69" s="45" t="n">
        <x:v>265</x:v>
      </x:c>
      <x:c r="I69" s="45" t="n">
        <x:v>0</x:v>
      </x:c>
      <x:c r="J69" s="45" t="n">
        <x:v>3</x:v>
      </x:c>
      <x:c r="K69" s="45" t="n">
        <x:v>0</x:v>
      </x:c>
      <x:c r="L69" s="45" t="n">
        <x:v>87.7</x:v>
      </x:c>
      <x:c r="M69" s="45" t="n">
        <x:v>0</x:v>
      </x:c>
      <x:c r="N69" s="45" t="n">
        <x:v>0.265</x:v>
      </x:c>
      <x:c r="O69" s="45" t="n">
        <x:v>0</x:v>
      </x:c>
      <x:c r="P69" s="45" t="n">
        <x:v>0.8967</x:v>
      </x:c>
      <x:c r="Q69" s="45" t="n">
        <x:v>0</x:v>
      </x:c>
      <x:c r="R69" s="45" t="n">
        <x:v>0.455</x:v>
      </x:c>
      <x:c r="S69" s="45" t="n">
        <x:v>0</x:v>
      </x:c>
      <x:c r="T69" s="45" t="n">
        <x:v>0.5</x:v>
      </x:c>
      <x:c r="U69" s="45" t="n">
        <x:v>0</x:v>
      </x:c>
      <x:c r="V69" s="45" t="n">
        <x:v>3.77</x:v>
      </x:c>
      <x:c r="W69" s="45" t="n">
        <x:v>0</x:v>
      </x:c>
      <x:c r="X69" s="45" t="n">
        <x:v>0</x:v>
      </x:c>
      <x:c r="Y69" s="45" t="n">
        <x:v>0</x:v>
      </x:c>
      <x:c r="Z69" s="45" t="n">
        <x:v>0</x:v>
      </x:c>
      <x:c r="AA69" s="45" t="n">
        <x:v>0</x:v>
      </x:c>
      <x:c r="AB69" s="50" t="str">
        <x:f t="shared" si="10"/>
        <x:v>Không thể so sánh</x:v>
      </x:c>
      <x:c r="AC69" s="50" t="str">
        <x:f t="shared" si="11"/>
        <x:v>Không thể so sánh</x:v>
      </x:c>
      <x:c r="AD69" s="47" t="str">
        <x:v>Answer: empty / Consumer Decision: blocked_api_status / QA Grade: failed / Publication: blocked / Publication Reason: unaccepted_answer_status / Coverage: writer_empty / RAG Coverage: insufficient / Answerable: False / Evidence: insufficient</x:v>
      </x:c>
    </x:row>
    <x:row r="70" ht="42" customHeight="1">
      <x:c r="A70" s="45" t="str">
        <x:v>EBX-Q-069</x:v>
      </x:c>
      <x:c r="B70" s="46" t="str">
        <x:v>Xã hội / Quản trị (Governance) / Tổ chức và hệ thống quản lý đóng góp xã hội</x:v>
      </x:c>
      <x:c r="C70" s="46" t="str">
        <x:v>Tác động cộng đồng / Tổ chức và hệ thống quản lý đóng góp xã hội</x:v>
      </x:c>
      <x:c r="D70" s="52"/>
      <x:c r="E70" s="51"/>
      <x:c r="F70" s="50" t="n">
        <x:f t="shared" si="8"/>
        <x:v>0</x:v>
      </x:c>
      <x:c r="G70" s="50" t="n">
        <x:f t="shared" si="9"/>
        <x:v>0</x:v>
      </x:c>
      <x:c r="H70" s="45" t="n">
        <x:v>0</x:v>
      </x:c>
      <x:c r="I70" s="45" t="n">
        <x:v>0</x:v>
      </x:c>
      <x:c r="J70" s="45" t="n">
        <x:v>0</x:v>
      </x:c>
      <x:c r="K70" s="45" t="n">
        <x:v>0</x:v>
      </x:c>
      <x:c r="L70" s="45" t="n">
        <x:v>0</x:v>
      </x:c>
      <x:c r="M70" s="45" t="n">
        <x:v>0</x:v>
      </x:c>
      <x:c r="N70" s="45" t="n">
        <x:v>0</x:v>
      </x:c>
      <x:c r="O70" s="45" t="n">
        <x:v>0</x:v>
      </x:c>
      <x:c r="P70" s="45" t="n">
        <x:v>0</x:v>
      </x:c>
      <x:c r="Q70" s="45" t="n">
        <x:v>0</x:v>
      </x:c>
      <x:c r="R70" s="45" t="n">
        <x:v>0</x:v>
      </x:c>
      <x:c r="S70" s="45" t="n">
        <x:v>0</x:v>
      </x:c>
      <x:c r="T70" s="45" t="n">
        <x:v>0</x:v>
      </x:c>
      <x:c r="U70" s="45" t="n">
        <x:v>0</x:v>
      </x:c>
      <x:c r="V70" s="45" t="n">
        <x:v>0</x:v>
      </x:c>
      <x:c r="W70" s="45" t="n">
        <x:v>0</x:v>
      </x:c>
      <x:c r="X70" s="45" t="n">
        <x:v>0</x:v>
      </x:c>
      <x:c r="Y70" s="45" t="n">
        <x:v>0</x:v>
      </x:c>
      <x:c r="Z70" s="45" t="n">
        <x:v>0</x:v>
      </x:c>
      <x:c r="AA70" s="45" t="n">
        <x:v>0</x:v>
      </x:c>
      <x:c r="AB70" s="50" t="str">
        <x:f t="shared" si="10"/>
        <x:v>Không thể so sánh</x:v>
      </x:c>
      <x:c r="AC70" s="50" t="str">
        <x:f t="shared" si="11"/>
        <x:v>Không thể so sánh</x:v>
      </x:c>
      <x:c r="AD70" s="47" t="str">
        <x:v>Answer: failed / Consumer Decision: blocked_qa / QA Grade: failed / Publication: blocked / Publication Reason: qa_not_passed / Coverage: writer_empty / RAG Coverage: partial / Answerable: True / Evidence: medium_confidence</x:v>
      </x:c>
    </x:row>
    <x:row r="71" ht="42" customHeight="1">
      <x:c r="A71" s="45" t="str">
        <x:v>EBX-Q-070</x:v>
      </x:c>
      <x:c r="B71" s="46" t="str">
        <x:v>Xã hội / Quản trị rủi ro (Risk Management) / Quản lý tác động và quan hệ cộng đồng</x:v>
      </x:c>
      <x:c r="C71" s="46" t="str">
        <x:v>Tác động cộng đồng / Quản lý tác động và quan hệ cộng đồng</x:v>
      </x:c>
      <x:c r="D71" s="48" t="str">
        <x:v>Daewoong Pharmaceutical đang quản lý một cách hệ thống các tác động từ hoạt động kinh doanh đến cộng đồng địa phương bằng cách quy định các chính sách, quy trình và trách nhiệm cho quá trình chuyển đổi công bằng. Đặc biệt, công ty quản lý mối quan hệ với các bên liên quan bằng cách đánh giá trước các tác động đến cộng đồng trong quá trình chuyển đổi công bằng, từ đó thực hiện các biện pháp thực tế phản ánh nhu cầu của cộng đồng. Ngoài ra, công ty cũng xây dựng và vận hành các kế hoạch cụ thể nhằm giảm thiểu tổn thất việc làm có thể xảy ra trong quá trình chuyển đổi. Daewoong tập trung vào việc giảm bớt cú sốc xã hội và nâng cao tính bền vững của cộng đồng địa phương thông qua việc cung cấp đào tạo tái tuyển dụng hoặc huấn luyện kỹ thuật cho những người lao động bị ảnh hưởng.</x:v>
      </x:c>
      <x:c r="E71" s="49" t="str">
        <x:v>Daewoong Pharmaceutical đánh giá trước các tác động đến cộng đồng địa phương trong quá trình chuyển đổi công bằng và thực hiện các biện pháp phản ánh nhu cầu của cộng đồng.</x:v>
      </x:c>
      <x:c r="F71" s="50" t="n">
        <x:f t="shared" si="8"/>
        <x:v>1</x:v>
      </x:c>
      <x:c r="G71" s="50" t="n">
        <x:f t="shared" si="9"/>
        <x:v>1</x:v>
      </x:c>
      <x:c r="H71" s="45" t="n">
        <x:v>316</x:v>
      </x:c>
      <x:c r="I71" s="45" t="n">
        <x:v>70</x:v>
      </x:c>
      <x:c r="J71" s="45" t="n">
        <x:v>4</x:v>
      </x:c>
      <x:c r="K71" s="45" t="n">
        <x:v>1</x:v>
      </x:c>
      <x:c r="L71" s="45" t="n">
        <x:v>78.2</x:v>
      </x:c>
      <x:c r="M71" s="45" t="n">
        <x:v>70</x:v>
      </x:c>
      <x:c r="N71" s="45" t="n">
        <x:v>0.167</x:v>
      </x:c>
      <x:c r="O71" s="45" t="n">
        <x:v>0</x:v>
      </x:c>
      <x:c r="P71" s="45" t="n">
        <x:v>0.9227</x:v>
      </x:c>
      <x:c r="Q71" s="45" t="n">
        <x:v>1</x:v>
      </x:c>
      <x:c r="R71" s="45" t="n">
        <x:v>0.399</x:v>
      </x:c>
      <x:c r="S71" s="45" t="n">
        <x:v>0.8</x:v>
      </x:c>
      <x:c r="T71" s="45" t="n">
        <x:v>1</x:v>
      </x:c>
      <x:c r="U71" s="45" t="n">
        <x:v>0.5</x:v>
      </x:c>
      <x:c r="V71" s="45" t="n">
        <x:v>9.49</x:v>
      </x:c>
      <x:c r="W71" s="45" t="n">
        <x:v>0</x:v>
      </x:c>
      <x:c r="X71" s="45" t="n">
        <x:v>0</x:v>
      </x:c>
      <x:c r="Y71" s="45" t="n">
        <x:v>0</x:v>
      </x:c>
      <x:c r="Z71" s="45" t="n">
        <x:v>0</x:v>
      </x:c>
      <x:c r="AA71" s="45" t="n">
        <x:v>0</x:v>
      </x:c>
      <x:c r="AB71" s="50" t="str">
        <x:f t="shared" si="10"/>
        <x:v>V3</x:v>
      </x:c>
      <x:c r="AC71" s="50" t="str">
        <x:f t="shared" si="11"/>
        <x:v>V2</x:v>
      </x:c>
      <x:c r="AD71" s="47" t="str">
        <x:v>Answer: passed / Consumer Decision: answered_partial / QA Grade: partial / Publication: review_required / Publication Reason: missing_expected_facets / Coverage: missing_expected_facets / RAG Coverage: insufficient / Answerable: False / Evidence: insufficient</x:v>
      </x:c>
    </x:row>
    <x:row r="72" ht="42" customHeight="1">
      <x:c r="A72" s="45" t="str">
        <x:v>EBX-Q-071</x:v>
      </x:c>
      <x:c r="B72" s="46" t="str">
        <x:v>Xã hội / Chỉ số (Metrics) / Tình hình hoạt động và đầu tư đóng góp xã hội</x:v>
      </x:c>
      <x:c r="C72" s="46" t="str">
        <x:v>Tác động cộng đồng / Tình hình hoạt động và đầu tư đóng góp xã hội</x:v>
      </x:c>
      <x:c r="D72" s="48" t="str">
        <x:v>Daewoong Pharmaceutical đang triển khai các hoạt động đóng góp xã hội tùy chỉnh nhằm giải quyết những khó khăn thực tế của cộng đồng địa phương và tạo ra giá trị xã hội. Đặc biệt, để giúp các khu vực bị thiên tai nhanh chóng phục hồi cuộc sống bình thường, công ty đã thực hiện các hoạt động cứu trợ cho những người bị ảnh hưởng bởi các vụ cháy rừng lớn tại các khu vực Gyeongbuk, Gyeongnam và Ulsan. Tổng cộng 5.000 bộ vật phẩm cứu trợ bao gồm khoảng 5.000 loại dược phẩm, hơn 10.000 sản phẩm công nghiệp và khoảng 5.000 thực phẩm chức năng đã được chuyển đến những người cư trú trong các nhà lắp ghép tạm thời tại 5 thành phố và huyện bao gồm Andong, Uiseong, Cheongsong, Yeongyang và Yeongdeok, qua đó hỗ trợ khoảng 4.200 người thụ hưởng đang sinh sống tại các cơ sở tạm thời quay trở lại cuộc sống khỏe mạnh. Những nỗ lực thực hiện trách nhiệm xã hội này được thể hiện qua sự gia tăng liên tục về quy mô đầu tư và mức độ tham gia của cán bộ nhân viên. Tính đến năm 2025, tỷ lệ đầu tư đóng góp xã hội trên doanh thu đạt 0.434501847411701%, cho thấy xu hướng tăng trưởng ổn định so với 0.024841987427882545% năm 2022, 0.2% năm 2023 và 0.2508848478230885% năm 2024. Sự tham gia tự nguyện của cán bộ nhân viên cũng được thúc đẩy, với số lượng người tham gia hàng năm năm 2025 đạt 35.0 người và tổng thời gian tham gia đạt 280.0 giờ. Đặc biệt, thời gian tham gia bình quân mỗi người đã tăng mạnh từ 2.0 giờ trong năm 2023 và 2024 lên 8.0 giờ vào năm 2025, xác nhận rằng cán bộ nhân viên đang đóng góp sâu sắc hơn vào việc tạo ra tác động cho cộng đồng địa phương.</x:v>
      </x:c>
      <x:c r="E72" s="49" t="str">
        <x:v>Daewoong Pharmaceutical đang triển khai các hoạt động đóng góp xã hội nhằm xóa bỏ sự mất cân bằng sức khỏe trong cộng đồng và hỗ trợ các nhóm đối tượng yếu thế. Phối hợp với Bệnh viện Ansan thuộc Đại học Korea, công ty đã thực hiện dự án đóng góp xã hội về phúc lợi y tế liên kết cộng đồng dành cho những đối tượng yếu thế tại các vùng đảo (Yukdo), nơi vốn là vùng trũng về dịch vụ y tế.</x:v>
      </x:c>
      <x:c r="F72" s="50" t="n">
        <x:f t="shared" si="8"/>
        <x:v>1</x:v>
      </x:c>
      <x:c r="G72" s="50" t="n">
        <x:f t="shared" si="9"/>
        <x:v>1</x:v>
      </x:c>
      <x:c r="H72" s="45" t="n">
        <x:v>699</x:v>
      </x:c>
      <x:c r="I72" s="45" t="n">
        <x:v>130</x:v>
      </x:c>
      <x:c r="J72" s="45" t="n">
        <x:v>7</x:v>
      </x:c>
      <x:c r="K72" s="45" t="n">
        <x:v>2</x:v>
      </x:c>
      <x:c r="L72" s="45" t="n">
        <x:v>99</x:v>
      </x:c>
      <x:c r="M72" s="45" t="n">
        <x:v>64.5</x:v>
      </x:c>
      <x:c r="N72" s="45" t="n">
        <x:v>0.428</x:v>
      </x:c>
      <x:c r="O72" s="45" t="n">
        <x:v>0.178</x:v>
      </x:c>
      <x:c r="P72" s="45" t="n">
        <x:v>0.8862</x:v>
      </x:c>
      <x:c r="Q72" s="45" t="n">
        <x:v>0.9615</x:v>
      </x:c>
      <x:c r="R72" s="45" t="n">
        <x:v>0.317</x:v>
      </x:c>
      <x:c r="S72" s="45" t="n">
        <x:v>0.417</x:v>
      </x:c>
      <x:c r="T72" s="45" t="n">
        <x:v>0.75</x:v>
      </x:c>
      <x:c r="U72" s="45" t="n">
        <x:v>0.5</x:v>
      </x:c>
      <x:c r="V72" s="45" t="n">
        <x:v>0</x:v>
      </x:c>
      <x:c r="W72" s="45" t="n">
        <x:v>0</x:v>
      </x:c>
      <x:c r="X72" s="45" t="n">
        <x:v>116</x:v>
      </x:c>
      <x:c r="Y72" s="45" t="n">
        <x:v>0</x:v>
      </x:c>
      <x:c r="Z72" s="45" t="n">
        <x:v>0</x:v>
      </x:c>
      <x:c r="AA72" s="45" t="n">
        <x:v>0</x:v>
      </x:c>
      <x:c r="AB72" s="50" t="str">
        <x:f t="shared" si="10"/>
        <x:v>V3</x:v>
      </x:c>
      <x:c r="AC72" s="50" t="str">
        <x:f t="shared" si="11"/>
        <x:v>V2</x:v>
      </x:c>
      <x:c r="AD72" s="47" t="str">
        <x:v>Answer: passed / Consumer Decision: answered / QA Grade: full / Publication: published / Publication Reason: complete_grounded_answer / Coverage: complete_grounded_answer / RAG Coverage: complete / Answerable: True / Evidence: high_confidence</x:v>
      </x:c>
    </x:row>
    <x:row r="73" ht="42" customHeight="1">
      <x:c r="A73" s="45" t="str">
        <x:v>EBX-Q-072</x:v>
      </x:c>
      <x:c r="B73" s="46" t="str">
        <x:v>Quản trị / Chiến lược (Strategy) / Chính sách vận hành các ủy ban trong Hội đồng quản trị</x:v>
      </x:c>
      <x:c r="C73" s="46" t="str">
        <x:v>Vận hành ủy ban / Chính sách vận hành ủy ban trong Hội đồng quản trị</x:v>
      </x:c>
      <x:c r="D73" s="48" t="str">
        <x:v>Chi tiết về thành phần, quyền hạn và vận hành của mỗi ủy ban sẽ được quyết định thông qua nghị quyết của Hội đồng quản trị, và việc quản lý tổng thể vận hành ủy ban sẽ tuân theo các quy định nội bộ liên quan. Về thành phần ủy ban, theo nguyên tắc, các ủy ban thông thường sẽ bao gồm từ 2 thành viên Hội đồng quản trị trở lên. Hội đồng quản trị có quyền thành lập ủy ban, bổ nhiệm và bãi nhiệm thành viên ủy ban, đồng thời thiết lập hệ thống xem xét và quyết định việc bổ nhiệm và bãi nhiệm Giám đốc điều hành, đề xuất các vấn đề cần sự phê duyệt của Đại hội đồng cổ đông và các vấn đề chính được quy định trong Điều lệ.</x:v>
      </x:c>
      <x:c r="E73" s="49" t="str">
        <x:v>Để ra quyết định nhanh chóng và hiệu quả, Daewoong có thể thành lập Ủy ban Nhân sự và Thù lao, Ủy ban Kiểm toán, Ủy ban Đề cử Thành viên Hội đồng quản trị Độc lập và các ủy ban khác trong Hội đồng quản trị theo quy định của Điều lệ. Các ủy ban bao gồm từ 2 thành viên Hội đồng quản trị trở lên, riêng Ủy ban Kiểm toán bao gồm từ 3 thành viên Hội đồng quản trị trở lên, và người đại diện ủy ban sẽ được lựa chọn thông qua nghị quyết của ủy ban. Các vấn đề về thành phần, quyền hạn, vận hành và chi tiết vận hành của mỗi ủy ban sẽ do Hội đồng quản trị quyết định thông qua nghị quyết.</x:v>
      </x:c>
      <x:c r="F73" s="50" t="n">
        <x:f t="shared" si="8"/>
        <x:v>1</x:v>
      </x:c>
      <x:c r="G73" s="50" t="n">
        <x:f t="shared" si="9"/>
        <x:v>1</x:v>
      </x:c>
      <x:c r="H73" s="45" t="n">
        <x:v>263</x:v>
      </x:c>
      <x:c r="I73" s="45" t="n">
        <x:v>226</x:v>
      </x:c>
      <x:c r="J73" s="45" t="n">
        <x:v>3</x:v>
      </x:c>
      <x:c r="K73" s="45" t="n">
        <x:v>3</x:v>
      </x:c>
      <x:c r="L73" s="45" t="n">
        <x:v>87</x:v>
      </x:c>
      <x:c r="M73" s="45" t="n">
        <x:v>74.7</x:v>
      </x:c>
      <x:c r="N73" s="45" t="n">
        <x:v>0.362</x:v>
      </x:c>
      <x:c r="O73" s="45" t="n">
        <x:v>0.267</x:v>
      </x:c>
      <x:c r="P73" s="45" t="n">
        <x:v>0.945</x:v>
      </x:c>
      <x:c r="Q73" s="45" t="n">
        <x:v>0.9096</x:v>
      </x:c>
      <x:c r="R73" s="45" t="n">
        <x:v>0.342</x:v>
      </x:c>
      <x:c r="S73" s="45" t="n">
        <x:v>0.669</x:v>
      </x:c>
      <x:c r="T73" s="45" t="n">
        <x:v>0.75</x:v>
      </x:c>
      <x:c r="U73" s="45" t="n">
        <x:v>0.75</x:v>
      </x:c>
      <x:c r="V73" s="45" t="n">
        <x:v>0</x:v>
      </x:c>
      <x:c r="W73" s="45" t="n">
        <x:v>0</x:v>
      </x:c>
      <x:c r="X73" s="45" t="n">
        <x:v>1</x:v>
      </x:c>
      <x:c r="Y73" s="45" t="n">
        <x:v>2</x:v>
      </x:c>
      <x:c r="Z73" s="45" t="n">
        <x:v>0</x:v>
      </x:c>
      <x:c r="AA73" s="45" t="n">
        <x:v>0</x:v>
      </x:c>
      <x:c r="AB73" s="50" t="str">
        <x:f t="shared" si="10"/>
        <x:v>V3</x:v>
      </x:c>
      <x:c r="AC73" s="50" t="str">
        <x:f t="shared" si="11"/>
        <x:v>Hòa</x:v>
      </x:c>
      <x:c r="AD73" s="47" t="str">
        <x:v>Answer: passed / Consumer Decision: answered_partial / QA Grade: partial / Publication: review_required / Publication Reason: partial_answer / Coverage: partial_answer / RAG Coverage: insufficient / Answerable: False / Evidence: insufficient</x:v>
      </x:c>
    </x:row>
    <x:row r="74" ht="42" customHeight="1">
      <x:c r="A74" s="45" t="str">
        <x:v>EBX-Q-073</x:v>
      </x:c>
      <x:c r="B74" s="46" t="str">
        <x:v>Quản trị / Quản trị (Governance) / Hệ thống thành phần và vận hành ủy ban</x:v>
      </x:c>
      <x:c r="C74" s="46" t="str">
        <x:v>Vận hành ủy ban / Hệ thống thành phần và vận hành ủy ban</x:v>
      </x:c>
      <x:c r="D74" s="48" t="str">
        <x:v>Daewoong Pharmaceutical đang tăng cường tính chuyên môn trong việc ra quyết định quản trị và nâng cao tính minh bạch của quản trị doanh nghiệp thông qua các ủy ban trực thuộc Hội đồng quản trị. Các ủy ban được vận hành với thành phần từ 2 thành viên Hội đồng quản trị trở lên, và mỗi ủy ban duy trì hệ thống vận hành có trách nhiệm bằng cách lựa chọn người đại diện ủy ban thông qua nghị quyết nội bộ. Để xem xét và giám sát các vấn đề cốt lõi trong quản trị doanh nghiệp, các ủy ban thực hiện quyền đề xuất đối với các vấn đề cần sự phê duyệt của Đại hội đồng cổ đông, đồng thời tham gia vào quá trình quyết định nhân sự chủ chốt như bổ nhiệm và bãi nhiệm Giám đốc điều hành để thúc đẩy sự kiểm soát và cân bằng đối với ban điều hành. Ngoài ra, để vận hành tổ chức hiệu quả, các ủy ban quyết định việc thành lập ủy ban mới cũng như bổ nhiệm và bãi nhiệm thành viên, đồng thời thực hiện vai trò xem xét và thẩm định kỹ lưỡng các vấn đề chung quan trọng được quy định trong điều lệ. Để đảm bảo tính độc lập và quản lý hệ thống trong vận hành ủy ban, các chi tiết về phương thức vận hành được Hội đồng quản trị quy định và thực hiện riêng biệt.</x:v>
      </x:c>
      <x:c r="E74" s="49" t="str">
        <x:v>Các ủy ban của Daewoong Pharmaceutical bao gồm từ 2 thành viên Hội đồng quản trị trở lên, riêng đối với Ủy ban Kiểm toán thì bao gồm từ 3 thành viên Hội đồng quản trị trở lên. Ủy ban lựa chọn người đại diện thông qua nghị quyết, và các vấn đề vận hành chi tiết do Hội đồng quản trị quy định riêng.</x:v>
      </x:c>
      <x:c r="F74" s="50" t="n">
        <x:f t="shared" si="8"/>
        <x:v>1</x:v>
      </x:c>
      <x:c r="G74" s="50" t="n">
        <x:f t="shared" si="9"/>
        <x:v>1</x:v>
      </x:c>
      <x:c r="H74" s="45" t="n">
        <x:v>442</x:v>
      </x:c>
      <x:c r="I74" s="45" t="n">
        <x:v>117</x:v>
      </x:c>
      <x:c r="J74" s="45" t="n">
        <x:v>5</x:v>
      </x:c>
      <x:c r="K74" s="45" t="n">
        <x:v>2</x:v>
      </x:c>
      <x:c r="L74" s="45" t="n">
        <x:v>87.6</x:v>
      </x:c>
      <x:c r="M74" s="45" t="n">
        <x:v>58</x:v>
      </x:c>
      <x:c r="N74" s="45" t="n">
        <x:v>0.247</x:v>
      </x:c>
      <x:c r="O74" s="45" t="n">
        <x:v>0.017</x:v>
      </x:c>
      <x:c r="P74" s="45" t="n">
        <x:v>0.935</x:v>
      </x:c>
      <x:c r="Q74" s="45" t="n">
        <x:v>0.8846</x:v>
      </x:c>
      <x:c r="R74" s="45" t="n">
        <x:v>0.172</x:v>
      </x:c>
      <x:c r="S74" s="45" t="n">
        <x:v>0.564</x:v>
      </x:c>
      <x:c r="T74" s="45" t="n">
        <x:v>1</x:v>
      </x:c>
      <x:c r="U74" s="45" t="n">
        <x:v>0.75</x:v>
      </x:c>
      <x:c r="V74" s="45" t="n">
        <x:v>4.52</x:v>
      </x:c>
      <x:c r="W74" s="45" t="n">
        <x:v>0</x:v>
      </x:c>
      <x:c r="X74" s="45" t="n">
        <x:v>1</x:v>
      </x:c>
      <x:c r="Y74" s="45" t="n">
        <x:v>2</x:v>
      </x:c>
      <x:c r="Z74" s="45" t="n">
        <x:v>0</x:v>
      </x:c>
      <x:c r="AA74" s="45" t="n">
        <x:v>0</x:v>
      </x:c>
      <x:c r="AB74" s="50" t="str">
        <x:f t="shared" si="10"/>
        <x:v>V3</x:v>
      </x:c>
      <x:c r="AC74" s="50" t="str">
        <x:f t="shared" si="11"/>
        <x:v>V2</x:v>
      </x:c>
      <x:c r="AD74" s="47" t="str">
        <x:v>Answer: passed / Consumer Decision: answered_partial / QA Grade: partial / Publication: review_required / Publication Reason: missing_expected_facets / Coverage: missing_expected_facets / RAG Coverage: insufficient / Answerable: False / Evidence: insufficient</x:v>
      </x:c>
    </x:row>
    <x:row r="75" ht="42" customHeight="1">
      <x:c r="A75" s="45" t="str">
        <x:v>EBX-Q-074</x:v>
      </x:c>
      <x:c r="B75" s="46" t="str">
        <x:v>Quản trị / Quản trị rủi ro (Risk Management) / Quản trị rủi ro liên quan đến vận hành ủy ban</x:v>
      </x:c>
      <x:c r="C75" s="46" t="str">
        <x:v>Vận hành ủy ban / Quản trị rủi ro liên quan đến vận hành ủy ban</x:v>
      </x:c>
      <x:c r="D75" s="48" t="str">
        <x:v>Ủy ban này thực hiện xem xét và quyết định đối với tất cả các hạng mục giao dịch nội bộ mới, cũng như các hạng mục giao dịch hiện có có sự thay đổi về giá (như giá thị trường) hoặc vai trò trong quan hệ giao dịch. Ngoài ra, ủy ban nhận báo cáo hàng quý về tình hình giao dịch nội bộ và kết quả kiểm tra, đồng thời tăng cường tính hiệu quả trong vận hành ủy ban và hệ thống quản trị rủi ro bằng cách đề xuất xem xét lại và thực hiện biện pháp khắc phục đối với các giao dịch được đánh giá là có rủi ro thông qua kiểm tra định kỳ nội bộ và bên ngoài.</x:v>
      </x:c>
      <x:c r="E75" s="51"/>
      <x:c r="F75" s="50" t="n">
        <x:f t="shared" si="8"/>
        <x:v>1</x:v>
      </x:c>
      <x:c r="G75" s="50" t="n">
        <x:f t="shared" si="9"/>
        <x:v>0</x:v>
      </x:c>
      <x:c r="H75" s="45" t="n">
        <x:v>206</x:v>
      </x:c>
      <x:c r="I75" s="45" t="n">
        <x:v>0</x:v>
      </x:c>
      <x:c r="J75" s="45" t="n">
        <x:v>2</x:v>
      </x:c>
      <x:c r="K75" s="45" t="n">
        <x:v>0</x:v>
      </x:c>
      <x:c r="L75" s="45" t="n">
        <x:v>102.5</x:v>
      </x:c>
      <x:c r="M75" s="45" t="n">
        <x:v>0</x:v>
      </x:c>
      <x:c r="N75" s="45" t="n">
        <x:v>0.18</x:v>
      </x:c>
      <x:c r="O75" s="45" t="n">
        <x:v>0</x:v>
      </x:c>
      <x:c r="P75" s="45" t="n">
        <x:v>0.9479</x:v>
      </x:c>
      <x:c r="Q75" s="45" t="n">
        <x:v>0</x:v>
      </x:c>
      <x:c r="R75" s="45" t="n">
        <x:v>0.416</x:v>
      </x:c>
      <x:c r="S75" s="45" t="n">
        <x:v>0</x:v>
      </x:c>
      <x:c r="T75" s="45" t="n">
        <x:v>0.8</x:v>
      </x:c>
      <x:c r="U75" s="45" t="n">
        <x:v>0</x:v>
      </x:c>
      <x:c r="V75" s="45" t="n">
        <x:v>4.85</x:v>
      </x:c>
      <x:c r="W75" s="45" t="n">
        <x:v>0</x:v>
      </x:c>
      <x:c r="X75" s="45" t="n">
        <x:v>0</x:v>
      </x:c>
      <x:c r="Y75" s="45" t="n">
        <x:v>0</x:v>
      </x:c>
      <x:c r="Z75" s="45" t="n">
        <x:v>0</x:v>
      </x:c>
      <x:c r="AA75" s="45" t="n">
        <x:v>0</x:v>
      </x:c>
      <x:c r="AB75" s="50" t="str">
        <x:f t="shared" si="10"/>
        <x:v>Không thể so sánh</x:v>
      </x:c>
      <x:c r="AC75" s="50" t="str">
        <x:f t="shared" si="11"/>
        <x:v>Không thể so sánh</x:v>
      </x:c>
      <x:c r="AD75" s="47" t="str">
        <x:v>Answer: failed / Consumer Decision: blocked_qa / QA Grade: failed / Publication: blocked / Publication Reason: qa_not_passed / Coverage: writer_empty / RAG Coverage: complete / Answerable: True / Evidence: high_confidence</x:v>
      </x:c>
    </x:row>
    <x:row r="76" ht="42" customHeight="1">
      <x:c r="A76" s="45" t="str">
        <x:v>EBX-Q-075</x:v>
      </x:c>
      <x:c r="B76" s="46" t="str">
        <x:v>Quản trị / Chỉ số (Metrics) / Tình hình tổ chức và hoạt động của ủy ban</x:v>
      </x:c>
      <x:c r="C76" s="46" t="str">
        <x:v>Vận hành ủy ban / Tình hình tổ chức và hoạt động của ủy ban</x:v>
      </x:c>
      <x:c r="D76" s="48" t="str">
        <x:v>Ủy ban Quản lý EHS, do Đại diện pháp luật của Daewoong Pharmaceutical làm Chủ tịch, được vận hành như một cơ quan ra quyết định nhằm xem xét chiến lược vận hành an toàn sức khỏe môi trường của từng công ty trong tập đoàn, cũng như các vấn đề chính và các điểm cần cải thiện. Ủy ban này được tổ chức định kỳ ít nhất một lần mỗi nửa năm và được triệu tập bất thường khi cần thiết; trong năm 2025, các cuộc họp đã được tiến hành vào ngày 20 tháng 3 và ngày 22 tháng 10. Thông qua các hoạt động của ủy ban, tổng cộng 23 đề án đã được thảo luận, bao gồm 11 đề án trong nửa đầu năm và 12 đề án trong nửa cuối năm. Các nội dung xem xét chính bao gồm kế hoạch kinh doanh và tình hình quản trị an toàn sức khỏe môi trường, báo cáo kết quả trung hòa carbon và tiết kiệm năng lượng, phương án ngăn ngừa tái diễn tai nạn an toàn cho cán bộ nhân viên. Ngoài ra, Hội đồng quản trị Tập đoàn Daewoong, bao gồm 6 thành viên bao gồm cả Đại diện pháp luật, hàng năm đều xem xét và phê duyệt chính sách quản lý an toàn môi trường, tình hình tổ chức, kết quả hoạt động, KPI, ngân sách và kế hoạch kinh doanh an toàn sức khỏe môi trường của các công ty trong tập đoàn. Ủy ban Quản lý EHS củng cố hệ thống quản lý an toàn sức khỏe môi trường trên toàn doanh nghiệp bằng cách báo cáo kết quả hoạt động an toàn sức khỏe môi trường lên Hội đồng quản trị ít nhất 2 lần mỗi năm.</x:v>
      </x:c>
      <x:c r="E76" s="49" t="str">
        <x:v>Các đề án xem xét chính bao gồm kế hoạch kinh doanh an toàn sức khỏe môi trường, tình hình quản trị an toàn sức khỏe môi trường, báo cáo kết quả trung hòa carbon và tiết kiệm năng lượng, phương án ngăn ngừa tái diễn tai nạn an toàn cho cán bộ nhân viên.</x:v>
      </x:c>
      <x:c r="F76" s="50" t="n">
        <x:f t="shared" si="8"/>
        <x:v>1</x:v>
      </x:c>
      <x:c r="G76" s="50" t="n">
        <x:f t="shared" si="9"/>
        <x:v>1</x:v>
      </x:c>
      <x:c r="H76" s="45" t="n">
        <x:v>494</x:v>
      </x:c>
      <x:c r="I76" s="45" t="n">
        <x:v>88</x:v>
      </x:c>
      <x:c r="J76" s="45" t="n">
        <x:v>5</x:v>
      </x:c>
      <x:c r="K76" s="45" t="n">
        <x:v>1</x:v>
      </x:c>
      <x:c r="L76" s="45" t="n">
        <x:v>98</x:v>
      </x:c>
      <x:c r="M76" s="45" t="n">
        <x:v>88</x:v>
      </x:c>
      <x:c r="N76" s="45" t="n">
        <x:v>0.199</x:v>
      </x:c>
      <x:c r="O76" s="45" t="n">
        <x:v>0</x:v>
      </x:c>
      <x:c r="P76" s="45" t="n">
        <x:v>0.9585</x:v>
      </x:c>
      <x:c r="Q76" s="45" t="n">
        <x:v>0.9444</x:v>
      </x:c>
      <x:c r="R76" s="45" t="n">
        <x:v>0.476</x:v>
      </x:c>
      <x:c r="S76" s="45" t="n">
        <x:v>0.787</x:v>
      </x:c>
      <x:c r="T76" s="45" t="n">
        <x:v>1</x:v>
      </x:c>
      <x:c r="U76" s="45" t="n">
        <x:v>0.25</x:v>
      </x:c>
      <x:c r="V76" s="45" t="n">
        <x:v>0</x:v>
      </x:c>
      <x:c r="W76" s="45" t="n">
        <x:v>0</x:v>
      </x:c>
      <x:c r="X76" s="45" t="n">
        <x:v>20</x:v>
      </x:c>
      <x:c r="Y76" s="45" t="n">
        <x:v>0</x:v>
      </x:c>
      <x:c r="Z76" s="45" t="n">
        <x:v>0</x:v>
      </x:c>
      <x:c r="AA76" s="45" t="n">
        <x:v>0</x:v>
      </x:c>
      <x:c r="AB76" s="50" t="str">
        <x:f t="shared" si="10"/>
        <x:v>V3</x:v>
      </x:c>
      <x:c r="AC76" s="50" t="str">
        <x:f t="shared" si="11"/>
        <x:v>V2</x:v>
      </x:c>
      <x:c r="AD76" s="47" t="str">
        <x:v>Answer: passed / Consumer Decision: answered / QA Grade: full / Publication: published / Publication Reason: complete_grounded_answer / Coverage: complete_grounded_answer / RAG Coverage: complete / Answerable: True / Evidence: high_confidence</x:v>
      </x:c>
    </x:row>
    <x:row r="77" ht="42" customHeight="1">
      <x:c r="A77" s="45" t="str">
        <x:v>EBX-Q-076</x:v>
      </x:c>
      <x:c r="B77" s="46" t="str">
        <x:v>Quản trị / Chiến lược (Strategy) / Chính sách về thành phần và tính độc lập của Hội đồng quản trị</x:v>
      </x:c>
      <x:c r="C77" s="46" t="str">
        <x:v>Thành phần HĐQT / Chính sách về thành phần và tính độc lập của Hội đồng quản trị</x:v>
      </x:c>
      <x:c r="D77" s="48" t="str">
        <x:v>Daewoong Pharmaceutical đang thiết lập và thực hiện các nguyên tắc thành phần và chính sách vận hành rõ ràng nhằm xây dựng hệ thống quản trị minh bạch thông qua việc đảm bảo tính độc lập và chuyên môn của Hội đồng quản trị một cách hệ thống. Hội đồng quản trị bao gồm tối thiểu 3 và tối đa 9 thành viên, đặc biệt tập trung vào việc tăng cường chức năng giám sát và kiểm soát thực tế đối với ban điều hành cũng như nâng cao tính khách quan trong ra quyết định bằng cách bổ nhiệm ít nhất một phần ba tổng số thành viên là thành viên độc lập. Về mặt quản lý nhiệm kỳ, công ty duy trì tính nhất quán và liên tục trong vận hành HĐQT bằng cách quy định nhiệm kỳ của thành viên được bổ nhiệm thay thế là thời gian còn lại của người tiền nhiệm. Đây là biện pháp nhằm duy trì hệ thống quản trị ổn định và giảm thiểu khoảng trống quản lý ngay cả khi có sự thiếu hụt thành viên HĐQT đột ngột. Ngoài ra, các tiêu chuẩn thành phần cụ thể được áp dụng để đảm bảo tính chuyên môn và độc lập của các ủy ban được thành lập trong HĐQT. Quyền bổ nhiệm và bãi nhiệm thành viên ủy ban được giao cho HĐQT để đảm bảo tính chính đáng về mặt thủ tục, và nguyên tắc là mỗi ủy ban phải bao gồm từ 2 thành viên HĐQT trở lên. Đặc biệt, bằng cách bố trí quá nửa thành viên ủy ban là thành viên độc lập, công ty đang xây dựng một hệ thống quản trị nơi việc xem xét và biểu quyết độc lập có thể diễn ra mà không bị ràng buộc bởi các lợi ích cụ thể. Chính sách thành phần của HĐQT và các ủy ban này đang trở thành nền tảng chiến lược để nâng cao tính minh bạch trong quản trị doanh nghiệp và bảo vệ giá trị cho cổ đông.</x:v>
      </x:c>
      <x:c r="E77" s="49" t="str">
        <x:v>Hội đồng quản trị của Daewoong bao gồm từ 3 đến 9 thành viên, đảm bảo tính độc lập bằng cách bố trí ít nhất một phần ba tổng số thành viên là thành viên độc lập. Ngoài ra, Ủy ban đề cử thành viên độc lập bao gồm từ 2 thành viên HĐQT trở lên, trong đó quá nửa số thành viên được bổ nhiệm là thành viên độc lập, và việc quyết định ứng viên bao gồm cả những ứng viên được đề cử bởi các cổ đông đáp ứng đủ điều kiện thực hiện quyền theo Luật Thương mại.</x:v>
      </x:c>
      <x:c r="F77" s="50" t="n">
        <x:f t="shared" si="8"/>
        <x:v>1</x:v>
      </x:c>
      <x:c r="G77" s="50" t="n">
        <x:f t="shared" si="9"/>
        <x:v>1</x:v>
      </x:c>
      <x:c r="H77" s="45" t="n">
        <x:v>662</x:v>
      </x:c>
      <x:c r="I77" s="45" t="n">
        <x:v>183</x:v>
      </x:c>
      <x:c r="J77" s="45" t="n">
        <x:v>8</x:v>
      </x:c>
      <x:c r="K77" s="45" t="n">
        <x:v>2</x:v>
      </x:c>
      <x:c r="L77" s="45" t="n">
        <x:v>81.9</x:v>
      </x:c>
      <x:c r="M77" s="45" t="n">
        <x:v>91</x:v>
      </x:c>
      <x:c r="N77" s="45" t="n">
        <x:v>0.226</x:v>
      </x:c>
      <x:c r="O77" s="45" t="n">
        <x:v>0.176</x:v>
      </x:c>
      <x:c r="P77" s="45" t="n">
        <x:v>0.9692</x:v>
      </x:c>
      <x:c r="Q77" s="45" t="n">
        <x:v>0.95</x:v>
      </x:c>
      <x:c r="R77" s="45" t="n">
        <x:v>0.097</x:v>
      </x:c>
      <x:c r="S77" s="45" t="n">
        <x:v>0.508</x:v>
      </x:c>
      <x:c r="T77" s="45" t="n">
        <x:v>1</x:v>
      </x:c>
      <x:c r="U77" s="45" t="n">
        <x:v>0.75</x:v>
      </x:c>
      <x:c r="V77" s="45" t="n">
        <x:v>4.53</x:v>
      </x:c>
      <x:c r="W77" s="45" t="n">
        <x:v>0</x:v>
      </x:c>
      <x:c r="X77" s="45" t="n">
        <x:v>5</x:v>
      </x:c>
      <x:c r="Y77" s="45" t="n">
        <x:v>5</x:v>
      </x:c>
      <x:c r="Z77" s="45" t="n">
        <x:v>0</x:v>
      </x:c>
      <x:c r="AA77" s="45" t="n">
        <x:v>0</x:v>
      </x:c>
      <x:c r="AB77" s="50" t="str">
        <x:f t="shared" si="10"/>
        <x:v>V3</x:v>
      </x:c>
      <x:c r="AC77" s="50" t="str">
        <x:f t="shared" si="11"/>
        <x:v>V2</x:v>
      </x:c>
      <x:c r="AD77" s="47" t="str">
        <x:v>Answer: passed / Consumer Decision: answered_partial / QA Grade: partial / Publication: review_required / Publication Reason: partial_answer / Coverage: partial_answer / RAG Coverage: insufficient / Answerable: False / Evidence: insufficient</x:v>
      </x:c>
    </x:row>
    <x:row r="78" ht="42" customHeight="1">
      <x:c r="A78" s="45" t="str">
        <x:v>EBX-Q-077</x:v>
      </x:c>
      <x:c r="B78" s="46" t="str">
        <x:v>Quản trị / Quản trị (Governance) / Hệ thống vận hành Hội đồng quản trị</x:v>
      </x:c>
      <x:c r="C78" s="46" t="str">
        <x:v>Thành phần Hội đồng quản trị / Hệ thống vận hành Hội đồng quản trị</x:v>
      </x:c>
      <x:c r="D78" s="48" t="str">
        <x:v>Hội đồng quản trị của Daewoong Pharmaceutical bao gồm tất cả các thành viên Hội đồng quản trị, đóng vai trò quyết định các vấn đề chính và việc điều hành công việc của công ty. Các chi tiết liên quan đến vận hành Hội đồng quản trị, ngoài những quy định trong pháp luật hoặc điều lệ, được quản lý theo quy định nội bộ. Hệ thống họp Hội đồng quản trị được chia thành họp định kỳ và họp bất thường tùy theo mục đích và tính chất vận hành. Thông qua đó, tất cả các thành viên Hội đồng quản trị cùng tham gia xem xét và quyết định các vấn đề ra quyết định chính của công ty, nhằm duy trì hệ thống giám sát quản trị có trách nhiệm.</x:v>
      </x:c>
      <x:c r="E78" s="49" t="str">
        <x:v>Hội đồng quản trị của Daewoong bao gồm tất cả các thành viên Hội đồng quản trị. Chủ tịch Hội đồng quản trị do Hội đồng quản trị quyết định; trong trường hợp Chủ tịch vắng mặt, một thành viên Hội đồng quản trị sẽ thay thế thực hiện nhiệm vụ theo chỉ định của Chủ tịch hoặc do Hội đồng quản trị quyết định. Ngoài ra, Hội đồng quản trị có thể có một thư ký do Chủ tịch chỉ định để xử lý các công việc hành chính liên quan.</x:v>
      </x:c>
      <x:c r="F78" s="50" t="n">
        <x:f t="shared" si="8"/>
        <x:v>1</x:v>
      </x:c>
      <x:c r="G78" s="50" t="n">
        <x:f t="shared" si="9"/>
        <x:v>1</x:v>
      </x:c>
      <x:c r="H78" s="45" t="n">
        <x:v>253</x:v>
      </x:c>
      <x:c r="I78" s="45" t="n">
        <x:v>136</x:v>
      </x:c>
      <x:c r="J78" s="45" t="n">
        <x:v>4</x:v>
      </x:c>
      <x:c r="K78" s="45" t="n">
        <x:v>3</x:v>
      </x:c>
      <x:c r="L78" s="45" t="n">
        <x:v>62.5</x:v>
      </x:c>
      <x:c r="M78" s="45" t="n">
        <x:v>44.7</x:v>
      </x:c>
      <x:c r="N78" s="45" t="n">
        <x:v>0.147</x:v>
      </x:c>
      <x:c r="O78" s="45" t="n">
        <x:v>0.377</x:v>
      </x:c>
      <x:c r="P78" s="45" t="n">
        <x:v>0.95</x:v>
      </x:c>
      <x:c r="Q78" s="45" t="n">
        <x:v>0.875</x:v>
      </x:c>
      <x:c r="R78" s="45" t="n">
        <x:v>0.244</x:v>
      </x:c>
      <x:c r="S78" s="45" t="n">
        <x:v>0.426</x:v>
      </x:c>
      <x:c r="T78" s="45" t="n">
        <x:v>1</x:v>
      </x:c>
      <x:c r="U78" s="45" t="n">
        <x:v>0.333</x:v>
      </x:c>
      <x:c r="V78" s="45" t="n">
        <x:v>3.95</x:v>
      </x:c>
      <x:c r="W78" s="45" t="n">
        <x:v>0</x:v>
      </x:c>
      <x:c r="X78" s="45" t="n">
        <x:v>0</x:v>
      </x:c>
      <x:c r="Y78" s="45" t="n">
        <x:v>1</x:v>
      </x:c>
      <x:c r="Z78" s="45" t="n">
        <x:v>0</x:v>
      </x:c>
      <x:c r="AA78" s="45" t="n">
        <x:v>0</x:v>
      </x:c>
      <x:c r="AB78" s="50" t="str">
        <x:f t="shared" si="10"/>
        <x:v>V3</x:v>
      </x:c>
      <x:c r="AC78" s="50" t="str">
        <x:f t="shared" si="11"/>
        <x:v>V2</x:v>
      </x:c>
      <x:c r="AD78" s="47" t="str">
        <x:v>Answer: passed / Consumer Decision: answered_partial / QA Grade: partial / Publication: review_required / Publication Reason: missing_expected_facets / Coverage: missing_expected_facets / RAG Coverage: insufficient / Answerable: False / Evidence: insufficient</x:v>
      </x:c>
    </x:row>
    <x:row r="79" ht="42" customHeight="1">
      <x:c r="A79" s="45" t="str">
        <x:v>EBX-Q-078</x:v>
      </x:c>
      <x:c r="B79" s="46" t="str">
        <x:v>Quản trị / Quản trị rủi ro (Risk Management) / Quản trị rủi ro liên quan đến vận hành Hội đồng quản trị</x:v>
      </x:c>
      <x:c r="C79" s="46" t="str">
        <x:v>Thành phần Hội đồng quản trị / Quản trị rủi ro liên quan đến vận hành Hội đồng quản trị</x:v>
      </x:c>
      <x:c r="D79" s="48" t="str">
        <x:v>Daewoong Pharmaceutical đang quản trị các rủi ro liên quan đến vận hành Hội đồng quản trị bằng cách duy trì tính độc lập của Hội đồng quản trị và xem xét khách quan các quyết định của ban điều hành để thực hiện vai trò kiểm soát hợp lý. Đặc biệt, công ty sở hữu năng lực quản trị rủi ro và hiệu quả đầu tư R&amp;D tích hợp giữa góc nhìn tài chính và kỹ thuật, góp phần xác định sớm các rủi ro có thể phát sinh trong quá trình nghiên cứu và phát triển pipeline thuốc mới và thiết lập chiến lược ứng phó.</x:v>
      </x:c>
      <x:c r="E79" s="49" t="str">
        <x:v>Daewoong Pharmaceutical thực hiện đánh giá Hội đồng quản trị bằng cách xem xét tổng thể việc thực hiện quản trị rủi ro của các thành viên Hội đồng quản trị độc lập, giám sát ban điều hành, mức độ xem xét các đề án và tư vấn dựa trên chuyên môn. Đặc biệt, thông qua hoạt động của Ủy ban R&amp;D, công ty góp phần xác định sớm các rủi ro có thể phát sinh trong quá trình nghiên cứu và phát triển pipeline thuốc mới và thiết lập chiến lược ứng phó, đồng thời duy trì tính độc lập của Hội đồng quản trị và quản trị rủi ro bằng cách xem xét khách quan các quyết định của ban điều hành để thực hiện vai trò kiểm soát hợp lý.</x:v>
      </x:c>
      <x:c r="F79" s="50" t="n">
        <x:f t="shared" si="8"/>
        <x:v>1</x:v>
      </x:c>
      <x:c r="G79" s="50" t="n">
        <x:f t="shared" si="9"/>
        <x:v>1</x:v>
      </x:c>
      <x:c r="H79" s="45" t="n">
        <x:v>210</x:v>
      </x:c>
      <x:c r="I79" s="45" t="n">
        <x:v>234</x:v>
      </x:c>
      <x:c r="J79" s="45" t="n">
        <x:v>2</x:v>
      </x:c>
      <x:c r="K79" s="45" t="n">
        <x:v>2</x:v>
      </x:c>
      <x:c r="L79" s="45" t="n">
        <x:v>104.5</x:v>
      </x:c>
      <x:c r="M79" s="45" t="n">
        <x:v>116.5</x:v>
      </x:c>
      <x:c r="N79" s="45" t="n">
        <x:v>0.167</x:v>
      </x:c>
      <x:c r="O79" s="45" t="n">
        <x:v>0.279</x:v>
      </x:c>
      <x:c r="P79" s="45" t="n">
        <x:v>0.975</x:v>
      </x:c>
      <x:c r="Q79" s="45" t="n">
        <x:v>0.9938</x:v>
      </x:c>
      <x:c r="R79" s="45" t="n">
        <x:v>0.592</x:v>
      </x:c>
      <x:c r="S79" s="45" t="n">
        <x:v>0.637</x:v>
      </x:c>
      <x:c r="T79" s="45" t="n">
        <x:v>1</x:v>
      </x:c>
      <x:c r="U79" s="45" t="n">
        <x:v>0.6</x:v>
      </x:c>
      <x:c r="V79" s="45" t="n">
        <x:v>0</x:v>
      </x:c>
      <x:c r="W79" s="45" t="n">
        <x:v>0</x:v>
      </x:c>
      <x:c r="X79" s="45" t="n">
        <x:v>0</x:v>
      </x:c>
      <x:c r="Y79" s="45" t="n">
        <x:v>0</x:v>
      </x:c>
      <x:c r="Z79" s="45" t="n">
        <x:v>0</x:v>
      </x:c>
      <x:c r="AA79" s="45" t="n">
        <x:v>0</x:v>
      </x:c>
      <x:c r="AB79" s="50" t="str">
        <x:f t="shared" si="10"/>
        <x:v>V3</x:v>
      </x:c>
      <x:c r="AC79" s="50" t="str">
        <x:f t="shared" si="11"/>
        <x:v>V2</x:v>
      </x:c>
      <x:c r="AD79" s="47" t="str">
        <x:v>Answer: passed / Consumer Decision: answered_partial / QA Grade: full / Publication: review_required / Publication Reason: human_review_required / Coverage: complete_grounded_answer / RAG Coverage: partial / Answerable: True / Evidence: thin_but_usable</x:v>
      </x:c>
    </x:row>
    <x:row r="80" ht="42" customHeight="1">
      <x:c r="A80" s="45" t="str">
        <x:v>EBX-Q-079</x:v>
      </x:c>
      <x:c r="B80" s="46" t="str">
        <x:v>Quản trị / Chỉ số (Metrics) / Hiện trạng thành phần và hoạt động của Hội đồng quản trị</x:v>
      </x:c>
      <x:c r="C80" s="46" t="str">
        <x:v>Thành phần Hội đồng quản trị / Hiện trạng thành phần và hoạt động của Hội đồng quản trị</x:v>
      </x:c>
      <x:c r="D80" s="48" t="str">
        <x:v>Hội đồng quản trị của Daewoong Pharmaceutical bao gồm cả Giám đốc điều hành, được vận hành với tổng cộng 7 thành viên hội đồng tính đến năm 2025, thực hiện các quyết định cốt lõi trong quản trị doanh nghiệp. Để đảm bảo sự tăng trưởng bền vững của doanh nghiệp, Hội đồng quản trị tăng cường hệ thống quản lý điều hành toàn công ty bằng cách xem xét và phê duyệt kỹ lưỡng các chính sách quản lý an toàn môi trường của tập đoàn Daewoong hàng năm, cùng với hiện trạng tổ chức, kết quả hoạt động, KPI, ngân sách và kế hoạch kinh doanh an toàn sức khỏe môi trường. Ngoài ra, để hỗ trợ ra quyết định nhanh chóng và hiệu quả trong lĩnh vực an toàn sức khỏe môi trường, công ty vận hành riêng một Ủy ban Quản lý EHS do Giám đốc điều hành của Daewoong Pharmaceutical làm Chủ tịch. Theo nguyên tắc, Ủy ban Quản lý EHS họp định kỳ ít nhất một lần mỗi nửa năm và có thể triệu tập bất cứ lúc nào khi cần thiết để xem xét chuyên sâu về chiến lược vận hành EHS, các vấn đề chính và các điểm cần cải thiện của từng công ty trong tập đoàn. Trong năm 2025, Ủy ban đã họp vào ngày 20 tháng 3 trong nửa đầu năm và ngày 22 tháng 10 trong nửa cuối năm để thúc đẩy các hoạt động quản lý an toàn sức khỏe môi trường thực tế, từ đó nâng cao mức độ quản lý an toàn sức khỏe trong toàn tập đoàn và tăng cường năng lực ứng phó rủi ro.</x:v>
      </x:c>
      <x:c r="E80" s="51"/>
      <x:c r="F80" s="50" t="n">
        <x:f t="shared" si="8"/>
        <x:v>1</x:v>
      </x:c>
      <x:c r="G80" s="50" t="n">
        <x:f t="shared" si="9"/>
        <x:v>0</x:v>
      </x:c>
      <x:c r="H80" s="45" t="n">
        <x:v>519</x:v>
      </x:c>
      <x:c r="I80" s="45" t="n">
        <x:v>0</x:v>
      </x:c>
      <x:c r="J80" s="45" t="n">
        <x:v>5</x:v>
      </x:c>
      <x:c r="K80" s="45" t="n">
        <x:v>0</x:v>
      </x:c>
      <x:c r="L80" s="45" t="n">
        <x:v>103</x:v>
      </x:c>
      <x:c r="M80" s="45" t="n">
        <x:v>0</x:v>
      </x:c>
      <x:c r="N80" s="45" t="n">
        <x:v>0.177</x:v>
      </x:c>
      <x:c r="O80" s="45" t="n">
        <x:v>0</x:v>
      </x:c>
      <x:c r="P80" s="45" t="n">
        <x:v>0.978</x:v>
      </x:c>
      <x:c r="Q80" s="45" t="n">
        <x:v>0</x:v>
      </x:c>
      <x:c r="R80" s="45" t="n">
        <x:v>0.332</x:v>
      </x:c>
      <x:c r="S80" s="45" t="n">
        <x:v>0</x:v>
      </x:c>
      <x:c r="T80" s="45" t="n">
        <x:v>1</x:v>
      </x:c>
      <x:c r="U80" s="45" t="n">
        <x:v>0</x:v>
      </x:c>
      <x:c r="V80" s="45" t="n">
        <x:v>7.71</x:v>
      </x:c>
      <x:c r="W80" s="45" t="n">
        <x:v>0</x:v>
      </x:c>
      <x:c r="X80" s="45" t="n">
        <x:v>17</x:v>
      </x:c>
      <x:c r="Y80" s="45" t="n">
        <x:v>0</x:v>
      </x:c>
      <x:c r="Z80" s="45" t="n">
        <x:v>0</x:v>
      </x:c>
      <x:c r="AA80" s="45" t="n">
        <x:v>0</x:v>
      </x:c>
      <x:c r="AB80" s="50" t="str">
        <x:f t="shared" si="10"/>
        <x:v>Không thể so sánh</x:v>
      </x:c>
      <x:c r="AC80" s="50" t="str">
        <x:f t="shared" si="11"/>
        <x:v>Không thể so sánh</x:v>
      </x:c>
      <x:c r="AD80" s="47" t="str">
        <x:v>Answer: failed / Consumer Decision: blocked_qa / QA Grade: failed / Publication: blocked / Publication Reason: qa_not_passed / Coverage: writer_empty / RAG Coverage: complete / Answerable: True / Evidence: high_confidence</x:v>
      </x:c>
    </x:row>
    <x:row r="81" ht="42" customHeight="1">
      <x:c r="A81" s="45" t="str">
        <x:v>EBX-Q-080</x:v>
      </x:c>
      <x:c r="B81" s="46" t="str">
        <x:v>Quản trị / Chiến lược (Strategy) / Hệ thống vận hành và chiến lược thúc đẩy ESG</x:v>
      </x:c>
      <x:c r="C81" s="47" t="str">
        <x:v>Hệ thống vận hành ESG / Hệ thống vận hành và chiến lược thúc đẩy ESG</x:v>
      </x:c>
      <x:c r="D81" s="48" t="str">
        <x:v>Daewoong Pharmaceutical vận hành CP (Chương trình Tuân thủ Tự nguyện về Thương mại Công bằng) để tự giác tuân thủ các quy định pháp luật liên quan đến thương mại công bằng và tạo dựng môi trường quản trị minh bạch. Để đạt được điều này, công ty thiết lập một hệ thống quản lý tích hợp bao gồm đào tạo, giám sát, chế tài và đánh giá, tập trung vào tổ chức chuyên trách CP nhằm đảm bảo tính hiệu quả của quản trị tuân thủ. Trong giai đoạn thực thi, các quyết định chính được thực hiện thông qua Ủy ban CP, đồng thời tiến hành kiểm tra thường xuyên các buổi giới thiệu sản phẩm để quản lý chặt chẽ việc tuân thủ pháp luật tại hiện trường. Đặc biệt, công ty tập trung vào việc tăng cường chức năng kiểm soát nội bộ và định hình văn hóa tự tuân thủ trong toàn công ty bằng cách áp dụng các biện pháp kỷ luật nghiêm khắc đối với những người vi phạm quy định.</x:v>
      </x:c>
      <x:c r="E81" s="51"/>
      <x:c r="F81" s="50" t="n">
        <x:f t="shared" si="8"/>
        <x:v>1</x:v>
      </x:c>
      <x:c r="G81" s="50" t="n">
        <x:f t="shared" si="9"/>
        <x:v>0</x:v>
      </x:c>
      <x:c r="H81" s="45" t="n">
        <x:v>326</x:v>
      </x:c>
      <x:c r="I81" s="45" t="n">
        <x:v>0</x:v>
      </x:c>
      <x:c r="J81" s="45" t="n">
        <x:v>4</x:v>
      </x:c>
      <x:c r="K81" s="45" t="n">
        <x:v>0</x:v>
      </x:c>
      <x:c r="L81" s="45" t="n">
        <x:v>80.8</x:v>
      </x:c>
      <x:c r="M81" s="45" t="n">
        <x:v>0</x:v>
      </x:c>
      <x:c r="N81" s="45" t="n">
        <x:v>0.037</x:v>
      </x:c>
      <x:c r="O81" s="45" t="n">
        <x:v>0</x:v>
      </x:c>
      <x:c r="P81" s="45" t="n">
        <x:v>0.9515</x:v>
      </x:c>
      <x:c r="Q81" s="45" t="n">
        <x:v>0</x:v>
      </x:c>
      <x:c r="R81" s="45" t="n">
        <x:v>0.307</x:v>
      </x:c>
      <x:c r="S81" s="45" t="n">
        <x:v>0</x:v>
      </x:c>
      <x:c r="T81" s="45" t="n">
        <x:v>0.4</x:v>
      </x:c>
      <x:c r="U81" s="45" t="n">
        <x:v>0</x:v>
      </x:c>
      <x:c r="V81" s="45" t="n">
        <x:v>6.13</x:v>
      </x:c>
      <x:c r="W81" s="45" t="n">
        <x:v>0</x:v>
      </x:c>
      <x:c r="X81" s="45" t="n">
        <x:v>0</x:v>
      </x:c>
      <x:c r="Y81" s="45" t="n">
        <x:v>0</x:v>
      </x:c>
      <x:c r="Z81" s="45" t="n">
        <x:v>0</x:v>
      </x:c>
      <x:c r="AA81" s="45" t="n">
        <x:v>0</x:v>
      </x:c>
      <x:c r="AB81" s="50" t="str">
        <x:f t="shared" si="10"/>
        <x:v>Không thể so sánh</x:v>
      </x:c>
      <x:c r="AC81" s="50" t="str">
        <x:f t="shared" si="11"/>
        <x:v>Không thể so sánh</x:v>
      </x:c>
      <x:c r="AD81" s="47" t="str">
        <x:v>Answer: empty / Consumer Decision: blocked_api_status / QA Grade: failed / Publication: blocked / Publication Reason: unaccepted_answer_status / Coverage: writer_empty / RAG Coverage: insufficient / Answerable: False / Evidence: insufficient</x:v>
      </x:c>
    </x:row>
    <x:row r="82" ht="42" customHeight="1">
      <x:c r="A82" s="45" t="str">
        <x:v>EBX-Q-081</x:v>
      </x:c>
      <x:c r="B82" s="46" t="str">
        <x:v>Quản trị / Quản trị (Governance) / Tổ chức và hệ thống quản lý chuyên trách ESG</x:v>
      </x:c>
      <x:c r="C82" s="47" t="str">
        <x:v>Hệ thống vận hành ESG / Tổ chức và hệ thống quản lý chuyên trách ESG</x:v>
      </x:c>
      <x:c r="D82" s="48" t="str">
        <x:v>Daewoong Pharmaceutical vận hành hệ thống quản trị trong đó Ủy ban Quản trị ESG thiết lập định hướng quản trị bền vững chuỗi cung ứng dưới sự giám sát cuối cùng của Hội đồng quản trị. Để triển khai thực tế, vai trò chuyên trách quản lý chuỗi cung ứng đã được thiết lập rõ ràng trong nhóm ESG, đồng thời bộ phận chuyên trách ESG và bộ phận mua hàng/thu mua phối hợp chặt chẽ để đảm bảo khả năng thực thi. Ngoài ra, công ty đang thúc đẩy lộ trình theo từng giai đoạn với mục tiêu xây dựng hệ sinh thái chuỗi cung ứng bền vững. Từ năm 2025 đến 2026, công ty sẽ thiết lập tiêu chuẩn đánh giá theo từng lĩnh vực, hệ thống vận hành và quản lý, cũng như hệ thống quản lý chuỗi cung ứng; từ năm 2027 đến 2028, kế hoạch là mở rộng chương trình nâng cao năng lực cho các công ty đối tác, tăng cường quản lý rủi ro và nâng cao hệ thống. Sau đó, vào năm 2029, công ty dự định mở rộng mô hình này sang các công ty con và pháp nhân nước ngoài để hoàn thiện hệ thống quản lý chuỗi cung ứng tích hợp.</x:v>
      </x:c>
      <x:c r="E82" s="49" t="str">
        <x:v>Daewoong Pharmaceutical vận hành hệ thống quản lý trong đó Ủy ban Quản trị ESG thiết lập định hướng quản trị ESG dưới sự giám sát cuối cùng của Hội đồng quản trị, và bộ phận chuyên trách ESG thực hiện các công việc thực tế. Đặc biệt, để quản trị bền vững chuỗi cung ứng, một vai trò chuyên trách đã được thiết lập trong nhóm ESG để phối hợp chặt chẽ với bộ phận mua hàng/thu mua. Ngoài ra, để vận hành Chương trình Tuân thủ Tự nguyện (CP) trong giao dịch công bằng, công ty đang tăng cường quản trị tuân thủ bằng cách xây dựng hệ thống đào tạo, giám sát, chế tài và đánh giá xoay quanh tổ chức chuyên trách CP với quy mô 9 người.</x:v>
      </x:c>
      <x:c r="F82" s="50" t="n">
        <x:f t="shared" si="8"/>
        <x:v>1</x:v>
      </x:c>
      <x:c r="G82" s="50" t="n">
        <x:f t="shared" si="9"/>
        <x:v>1</x:v>
      </x:c>
      <x:c r="H82" s="45" t="n">
        <x:v>400</x:v>
      </x:c>
      <x:c r="I82" s="45" t="n">
        <x:v>244</x:v>
      </x:c>
      <x:c r="J82" s="45" t="n">
        <x:v>5</x:v>
      </x:c>
      <x:c r="K82" s="45" t="n">
        <x:v>3</x:v>
      </x:c>
      <x:c r="L82" s="45" t="n">
        <x:v>79.2</x:v>
      </x:c>
      <x:c r="M82" s="45" t="n">
        <x:v>80.7</x:v>
      </x:c>
      <x:c r="N82" s="45" t="n">
        <x:v>0.362</x:v>
      </x:c>
      <x:c r="O82" s="45" t="n">
        <x:v>0.142</x:v>
      </x:c>
      <x:c r="P82" s="45" t="n">
        <x:v>0.8789</x:v>
      </x:c>
      <x:c r="Q82" s="45" t="n">
        <x:v>0.8953</x:v>
      </x:c>
      <x:c r="R82" s="45" t="n">
        <x:v>0.471</x:v>
      </x:c>
      <x:c r="S82" s="45" t="n">
        <x:v>0.574</x:v>
      </x:c>
      <x:c r="T82" s="45" t="n">
        <x:v>0.8</x:v>
      </x:c>
      <x:c r="U82" s="45" t="n">
        <x:v>1</x:v>
      </x:c>
      <x:c r="V82" s="45" t="n">
        <x:v>7.5</x:v>
      </x:c>
      <x:c r="W82" s="45" t="n">
        <x:v>8.2</x:v>
      </x:c>
      <x:c r="X82" s="45" t="n">
        <x:v>20</x:v>
      </x:c>
      <x:c r="Y82" s="45" t="n">
        <x:v>1</x:v>
      </x:c>
      <x:c r="Z82" s="45" t="n">
        <x:v>0</x:v>
      </x:c>
      <x:c r="AA82" s="45" t="n">
        <x:v>0</x:v>
      </x:c>
      <x:c r="AB82" s="50" t="str">
        <x:f t="shared" si="10"/>
        <x:v>V3</x:v>
      </x:c>
      <x:c r="AC82" s="50" t="str">
        <x:f t="shared" si="11"/>
        <x:v>V3</x:v>
      </x:c>
      <x:c r="AD82" s="47" t="str">
        <x:v>Answer: passed / Consumer Decision: answered_partial / QA Grade: partial / Publication: review_required / Publication Reason: missing_expected_facets / Coverage: missing_expected_facets / RAG Coverage: complete / Answerable: True / Evidence: high_confidence</x:v>
      </x:c>
    </x:row>
    <x:row r="83" ht="42" customHeight="1">
      <x:c r="A83" s="45" t="str">
        <x:v>EBX-Q-082</x:v>
      </x:c>
      <x:c r="B83" s="46" t="str">
        <x:v>Quản trị / Quản trị rủi ro (Risk Management) / Quản trị rủi ro liên quan đến vận hành ESG</x:v>
      </x:c>
      <x:c r="C83" s="47" t="str">
        <x:v>Hệ thống vận hành ESG / Quản trị rủi ro liên quan đến vận hành ESG</x:v>
      </x:c>
      <x:c r="D83" s="48" t="str">
        <x:v>Daewoong Pharmaceutical đã thiết lập các chính sách quản lý theo từng loại rủi ro và vận hành hệ thống ứng phó chuyên nghiệp nhằm thực thi ổn định hệ thống quản trị ESG và giảm thiểu rủi ro tiềm ẩn. Để quản lý rủi ro pháp lý và đạo đức, công ty tập trung vào việc giảm thiểu rủi ro pháp lý bằng cách tuân thủ nghiêm ngặt các luật lệ, quy định trong và ngoài nước, đồng thời tăng cường đạo đức doanh nghiệp. Đặc biệt, để ứng phó chủ động với các yêu cầu trong và ngoài nước về phòng chống tham nhũng, công ty đã đạt chứng nhận ISO 37001 (Hệ thống quản lý chống hối lộ), từ đó xây dựng và duy trì vận hành hệ thống quản lý dựa trên tiêu chuẩn quốc tế. Về mặt quản lý rủi ro vận hành, công ty đã đạt chứng nhận ISO 50001 (Hệ thống quản lý năng lượng) mới nhằm nâng cao hiệu quả quản lý năng lượng và thiết lập nền tảng quản lý hệ thống, qua đó tăng cường năng lực ứng phó rủi ro vận hành. Ngoài ra, để giảm thiểu rủi ro thông qua ứng phó nhanh chóng và hệ thống khi xảy ra tai nạn nghiêm trọng, công ty đã thành lập và vận hành TFT Tai nạn nghiêm trọng do CEO làm trưởng nhóm. Tổ chức này được chia chi tiết thành 4 nhóm: nhóm chỉ huy, nhóm điều tra, nhóm ứng phó và nhóm hỗ trợ. Thông qua đó, công ty quản lý rủi ro và thực hiện các biện pháp giảm thiểu trong toàn bộ quá trình, từ việc xác định các yếu tố nguy hiểm, bảo tồn và kiểm soát hiện trường, hỗ trợ điều tra tai nạn, ứng phó đối ngoại thông qua theo dõi truyền thông, thương lượng bồi thường bao gồm hỗ trợ nhân lực và tài chính, cho đến hệ thống hỗ trợ thường xuyên của phòng pháp chế. Bên cạnh đó, để nâng cao tính chuyên môn trong công tác công bố thông tin ESG và củng cố hơn nữa hệ thống ứng phó đối ngoại, Daewoong Pharmaceutical đã chuyển đổi bộ phận phụ trách công bố thông tin từ nhóm Tài chính sang nhóm IR vào năm 2025, nhằm quản lý rủi ro vận hành quản trị và nâng cao hiệu quả của hệ thống công bố thông tin.</x:v>
      </x:c>
      <x:c r="E83" s="49" t="str">
        <x:v>Daewoong Pharmaceutical đang giảm thiểu rủi ro pháp lý thông qua việc tuân thủ các luật lệ, quy định trong và ngoài nước và tăng cường đạo đức doanh nghiệp. Để đối phó hiệu quả với rủi ro tham nhũng, công ty đã đạt chứng nhận ISO 37001 (Hệ thống quản lý chống hối lộ) và đang vận hành hệ thống quản lý dựa trên tiêu chuẩn quốc tế, đồng thời thúc đẩy xây dựng hệ thống cạnh tranh công bằng và nâng cao niềm tin trong và ngoài doanh nghiệp thông qua Chương trình Tuân thủ Tự nguyện về Giao dịch Công bằng (CP). Ngoài ra, như một phần của quản lý rủi ro vận hành, công ty đã đạt được chứng nhận ISO 50001 (Hệ thống quản lý năng lượng) mới.</x:v>
      </x:c>
      <x:c r="F83" s="50" t="n">
        <x:f t="shared" si="8"/>
        <x:v>1</x:v>
      </x:c>
      <x:c r="G83" s="50" t="n">
        <x:f t="shared" si="9"/>
        <x:v>1</x:v>
      </x:c>
      <x:c r="H83" s="45" t="n">
        <x:v>803</x:v>
      </x:c>
      <x:c r="I83" s="45" t="n">
        <x:v>244</x:v>
      </x:c>
      <x:c r="J83" s="45" t="n">
        <x:v>8</x:v>
      </x:c>
      <x:c r="K83" s="45" t="n">
        <x:v>3</x:v>
      </x:c>
      <x:c r="L83" s="45" t="n">
        <x:v>99.5</x:v>
      </x:c>
      <x:c r="M83" s="45" t="n">
        <x:v>80.7</x:v>
      </x:c>
      <x:c r="N83" s="45" t="n">
        <x:v>0.281</x:v>
      </x:c>
      <x:c r="O83" s="45" t="n">
        <x:v>0.459</x:v>
      </x:c>
      <x:c r="P83" s="45" t="n">
        <x:v>0.9416</x:v>
      </x:c>
      <x:c r="Q83" s="45" t="n">
        <x:v>0.9283</x:v>
      </x:c>
      <x:c r="R83" s="45" t="n">
        <x:v>0.344</x:v>
      </x:c>
      <x:c r="S83" s="45" t="n">
        <x:v>0.559</x:v>
      </x:c>
      <x:c r="T83" s="45" t="n">
        <x:v>0.8</x:v>
      </x:c>
      <x:c r="U83" s="45" t="n">
        <x:v>0.6</x:v>
      </x:c>
      <x:c r="V83" s="45" t="n">
        <x:v>3.74</x:v>
      </x:c>
      <x:c r="W83" s="45" t="n">
        <x:v>0</x:v>
      </x:c>
      <x:c r="X83" s="45" t="n">
        <x:v>15</x:v>
      </x:c>
      <x:c r="Y83" s="45" t="n">
        <x:v>10</x:v>
      </x:c>
      <x:c r="Z83" s="45" t="n">
        <x:v>0</x:v>
      </x:c>
      <x:c r="AA83" s="45" t="n">
        <x:v>0</x:v>
      </x:c>
      <x:c r="AB83" s="50" t="str">
        <x:f t="shared" si="10"/>
        <x:v>V3</x:v>
      </x:c>
      <x:c r="AC83" s="50" t="str">
        <x:f t="shared" si="11"/>
        <x:v>V2</x:v>
      </x:c>
      <x:c r="AD83" s="47" t="str">
        <x:v>Answer: passed / Consumer Decision: answered_partial / QA Grade: partial / Publication: review_required / Publication Reason: missing_expected_facets / Coverage: missing_expected_facets / RAG Coverage: complete / Answerable: True / Evidence: medium_confidence</x:v>
      </x:c>
    </x:row>
    <x:row r="84" ht="42" customHeight="1">
      <x:c r="A84" s="45" t="str">
        <x:v>EBX-Q-083</x:v>
      </x:c>
      <x:c r="B84" s="46" t="str">
        <x:v>Quản trị / Chỉ số (Metrics) / Kết quả vận hành ESG và tình hình thực hiện mục tiêu</x:v>
      </x:c>
      <x:c r="C84" s="47" t="str">
        <x:v>Hệ thống vận hành ESG / Kết quả vận hành ESG và tình hình thực hiện mục tiêu</x:v>
      </x:c>
      <x:c r="D84" s="52"/>
      <x:c r="E84" s="51"/>
      <x:c r="F84" s="50" t="n">
        <x:f t="shared" si="8"/>
        <x:v>0</x:v>
      </x:c>
      <x:c r="G84" s="50" t="n">
        <x:f t="shared" si="9"/>
        <x:v>0</x:v>
      </x:c>
      <x:c r="H84" s="45" t="n">
        <x:v>0</x:v>
      </x:c>
      <x:c r="I84" s="45" t="n">
        <x:v>0</x:v>
      </x:c>
      <x:c r="J84" s="45" t="n">
        <x:v>0</x:v>
      </x:c>
      <x:c r="K84" s="45" t="n">
        <x:v>0</x:v>
      </x:c>
      <x:c r="L84" s="45" t="n">
        <x:v>0</x:v>
      </x:c>
      <x:c r="M84" s="45" t="n">
        <x:v>0</x:v>
      </x:c>
      <x:c r="N84" s="45" t="n">
        <x:v>0</x:v>
      </x:c>
      <x:c r="O84" s="45" t="n">
        <x:v>0</x:v>
      </x:c>
      <x:c r="P84" s="45" t="n">
        <x:v>0</x:v>
      </x:c>
      <x:c r="Q84" s="45" t="n">
        <x:v>0</x:v>
      </x:c>
      <x:c r="R84" s="45" t="n">
        <x:v>0</x:v>
      </x:c>
      <x:c r="S84" s="45" t="n">
        <x:v>0</x:v>
      </x:c>
      <x:c r="T84" s="45" t="n">
        <x:v>0</x:v>
      </x:c>
      <x:c r="U84" s="45" t="n">
        <x:v>0</x:v>
      </x:c>
      <x:c r="V84" s="45" t="n">
        <x:v>0</x:v>
      </x:c>
      <x:c r="W84" s="45" t="n">
        <x:v>0</x:v>
      </x:c>
      <x:c r="X84" s="45" t="n">
        <x:v>0</x:v>
      </x:c>
      <x:c r="Y84" s="45" t="n">
        <x:v>0</x:v>
      </x:c>
      <x:c r="Z84" s="45" t="n">
        <x:v>0</x:v>
      </x:c>
      <x:c r="AA84" s="45" t="n">
        <x:v>0</x:v>
      </x:c>
      <x:c r="AB84" s="50" t="str">
        <x:f t="shared" si="10"/>
        <x:v>Không thể so sánh</x:v>
      </x:c>
      <x:c r="AC84" s="50" t="str">
        <x:f t="shared" si="11"/>
        <x:v>Không thể so sánh</x:v>
      </x:c>
      <x:c r="AD84" s="47" t="str">
        <x:v>Answer: empty / Consumer Decision: blocked_qa / QA Grade: failed / Publication: blocked / Publication Reason: qa_not_passed / Coverage: writer_empty / RAG Coverage: complete / Answerable: True / Evidence: medium_confidence</x:v>
      </x:c>
    </x:row>
    <x:row r="85" ht="42" customHeight="1">
      <x:c r="A85" s="45" t="str">
        <x:v>EBX-Q-084</x:v>
      </x:c>
      <x:c r="B85" s="46" t="str">
        <x:v>Quản trị / Chiến lược (Strategy) / Chính sách và mục tiêu tuân thủ</x:v>
      </x:c>
      <x:c r="C85" s="46" t="str">
        <x:v>Tuân thủ / Chính sách và mục tiêu tuân thủ</x:v>
      </x:c>
      <x:c r="D85" s="48" t="str">
        <x:v>Đội Bảo mật Thông tin của Tập đoàn Daewoong là tổ chức hạ tầng quản trị cốt lõi hỗ trợ tính bền vững của các hoạt động kinh doanh toàn cầu, bán hàng, sản xuất và nghiên cứu, với mục tiêu cuối cùng là hỗ trợ kinh doanh ổn định bằng cách giảm thiểu rủi ro gián đoạn kinh doanh do các mối đe dọa bảo mật. Để đạt được điều này, chúng tôi thiết lập các tiêu chuẩn và nguyên tắc bảo mật tối ưu cho môi trường làm việc và kinh doanh, đồng thời thúc đẩy việc hình thành văn hóa bảo mật tự giác bằng cách phổ biến để cán bộ nhân viên có thể hiểu rõ và cùng tham gia. Daewoong Pharmaceutical đang vận hành một lộ trình trung và dài hạn với mục tiêu tiến tới hệ thống bảo mật cấp độ doanh nghiệp dược phẩm dẫn đầu toàn cầu, vượt xa năng lực bảo mật cao nhất trong ngành dược phẩm trong nước. Đặc biệt, chúng tôi đã thiết lập các cột mốc chiến lược để đạt được mức độ bảo mật thông tin top-tier toàn cầu thông qua các giai đoạn nâng cao quản trị và tuân thủ, cũng như xây dựng hạ tầng đổi mới và công nghệ bảo mật tiên tiến, đồng thời sửa đổi lộ trình bằng cách cụ thể hóa các mục tiêu và kế hoạch thực hiện. Về mặt thực thi, chúng tôi đang củng cố nền tảng tăng trưởng toàn cầu thông qua việc bảo vệ công nghệ cốt lõi quốc gia và xây dựng hệ thống bảo mật cho các pháp nhân nước ngoài. Ngoài ra, bằng cách gia hạn chứng nhận ISO 27001 về hệ thống quản lý an toàn thông tin và ISO 27701 về hệ thống quản lý bảo vệ thông tin cá nhân, trở thành đơn vị đầu tiên trong ngành dược phẩm đạt được cả hai chứng nhận này trong 3 năm liên tiếp, chúng tôi đang đảm bảo niềm tin từ khách hàng, đối tác và các cơ quan quản lý thông qua việc đáp ứng tuân thủ nghiêm ngặt.</x:v>
      </x:c>
      <x:c r="E85" s="51"/>
      <x:c r="F85" s="50" t="n">
        <x:f t="shared" si="8"/>
        <x:v>1</x:v>
      </x:c>
      <x:c r="G85" s="50" t="n">
        <x:f t="shared" si="9"/>
        <x:v>0</x:v>
      </x:c>
      <x:c r="H85" s="45" t="n">
        <x:v>644</x:v>
      </x:c>
      <x:c r="I85" s="45" t="n">
        <x:v>0</x:v>
      </x:c>
      <x:c r="J85" s="45" t="n">
        <x:v>6</x:v>
      </x:c>
      <x:c r="K85" s="45" t="n">
        <x:v>0</x:v>
      </x:c>
      <x:c r="L85" s="45" t="n">
        <x:v>106.5</x:v>
      </x:c>
      <x:c r="M85" s="45" t="n">
        <x:v>0</x:v>
      </x:c>
      <x:c r="N85" s="45" t="n">
        <x:v>0.254</x:v>
      </x:c>
      <x:c r="O85" s="45" t="n">
        <x:v>0</x:v>
      </x:c>
      <x:c r="P85" s="45" t="n">
        <x:v>0.9266</x:v>
      </x:c>
      <x:c r="Q85" s="45" t="n">
        <x:v>0</x:v>
      </x:c>
      <x:c r="R85" s="45" t="n">
        <x:v>0.664</x:v>
      </x:c>
      <x:c r="S85" s="45" t="n">
        <x:v>0</x:v>
      </x:c>
      <x:c r="T85" s="45" t="n">
        <x:v>0.667</x:v>
      </x:c>
      <x:c r="U85" s="45" t="n">
        <x:v>0</x:v>
      </x:c>
      <x:c r="V85" s="45" t="n">
        <x:v>4.66</x:v>
      </x:c>
      <x:c r="W85" s="45" t="n">
        <x:v>0</x:v>
      </x:c>
      <x:c r="X85" s="45" t="n">
        <x:v>11</x:v>
      </x:c>
      <x:c r="Y85" s="45" t="n">
        <x:v>0</x:v>
      </x:c>
      <x:c r="Z85" s="45" t="n">
        <x:v>0</x:v>
      </x:c>
      <x:c r="AA85" s="45" t="n">
        <x:v>0</x:v>
      </x:c>
      <x:c r="AB85" s="50" t="str">
        <x:f t="shared" si="10"/>
        <x:v>Không thể so sánh</x:v>
      </x:c>
      <x:c r="AC85" s="50" t="str">
        <x:f t="shared" si="11"/>
        <x:v>Không thể so sánh</x:v>
      </x:c>
      <x:c r="AD85" s="47" t="str">
        <x:v>Answer: failed / Consumer Decision: blocked_api_status / QA Grade: failed / Publication: blocked / Publication Reason: qa_not_passed / Coverage: writer_empty / RAG Coverage: insufficient / Answerable: False / Evidence: insufficient</x:v>
      </x:c>
    </x:row>
    <x:row r="86" ht="42" customHeight="1">
      <x:c r="A86" s="45" t="str">
        <x:v>EBX-Q-085</x:v>
      </x:c>
      <x:c r="B86" s="46" t="str">
        <x:v>Quản trị / Quản trị (Governance) / Tổ chức và hệ thống quản lý tuân thủ</x:v>
      </x:c>
      <x:c r="C86" s="46" t="str">
        <x:v>Tuân thủ / Tổ chức và hệ thống quản lý tuân thủ</x:v>
      </x:c>
      <x:c r="D86" s="48" t="str">
        <x:v>Vượt ra ngoài phạm vi vận hành bảo mật đơn thuần, Đội Bảo mật Thông tin của Tập đoàn Daewoong là tổ chức hạ tầng quản trị cốt lõi hỗ trợ tính bền vững của các hoạt động kinh doanh toàn cầu, bán hàng, sản xuất và nghiên cứu, đồng thời xây dựng và vận hành hệ thống quản lý tuân thủ pháp luật. Công ty thiết lập các tiêu chuẩn và nguyên tắc bảo mật tối ưu cho đặc thù kinh doanh và môi trường làm việc, đồng thời dẫn dắt việc hình thành văn hóa bảo mật tự giác trong tổ chức bằng cách phổ biến để tất cả cán bộ nhân viên có thể hiểu rõ và thực hiện. Đặc biệt, chúng tôi tập trung vào việc củng cố nền tảng ổn định cho tăng trưởng toàn cầu bằng cách tăng cường hệ thống bảo vệ công nghệ cốt lõi quốc gia và xây dựng hệ thống bảo mật cho các pháp nhân nước ngoài. Bên cạnh đó, thông qua việc đáp ứng tuân thủ nghiêm ngặt và duy trì các chứng nhận tiêu chuẩn quốc tế, chúng tôi đảm bảo niềm tin cao từ các cơ quan quản lý cũng như khách hàng và đối tác. Nhờ kết quả vận hành hệ thống giám sát và quản lý tuân thủ này, chúng tôi đã gia hạn thành công chứng nhận ISO 27001 về hệ thống quản lý an toàn thông tin và ISO 27701 về hệ thống quản lý bảo vệ thông tin cá nhân. Qua đó, Daewoong Pharmaceutical đã chứng minh năng lực quản lý chuyên môn trong lĩnh vực bảo mật thông tin và bảo vệ thông tin cá nhân khi trở thành đơn vị đầu tiên trong ngành dược phẩm đạt được hai chứng nhận tiêu chuẩn quốc tế này trong 3 năm liên tiếp.</x:v>
      </x:c>
      <x:c r="E86" s="49" t="str">
        <x:v>Để đạt được điều này, một mặt chúng tôi củng cố nền tảng tăng trưởng toàn cầu thông qua việc bảo vệ công nghệ cốt lõi quốc gia và xây dựng hệ thống bảo mật cho các pháp nhân nước ngoài, mặt khác đảm bảo niềm tin của khách hàng, đối tác và cơ quan quản lý thông qua việc duy trì các chứng nhận tiêu chuẩn quốc tế (ISO) và đáp ứng tuân thủ nghiêm ngặt. Đây là tổ chức hạ tầng quản trị cốt lõi hỗ trợ tính bền vững của các hoạt động nghiên cứu. Mục tiêu bảo mật thông tin Tổ chức chuyên trách bảo mật thông tin Bảo mật thông tin</x:v>
      </x:c>
      <x:c r="F86" s="50" t="n">
        <x:f t="shared" si="8"/>
        <x:v>1</x:v>
      </x:c>
      <x:c r="G86" s="50" t="n">
        <x:f t="shared" si="9"/>
        <x:v>1</x:v>
      </x:c>
      <x:c r="H86" s="45" t="n">
        <x:v>565</x:v>
      </x:c>
      <x:c r="I86" s="45" t="n">
        <x:v>180</x:v>
      </x:c>
      <x:c r="J86" s="45" t="n">
        <x:v>6</x:v>
      </x:c>
      <x:c r="K86" s="45" t="n">
        <x:v>3</x:v>
      </x:c>
      <x:c r="L86" s="45" t="n">
        <x:v>93.3</x:v>
      </x:c>
      <x:c r="M86" s="45" t="n">
        <x:v>59.3</x:v>
      </x:c>
      <x:c r="N86" s="45" t="n">
        <x:v>0.156</x:v>
      </x:c>
      <x:c r="O86" s="45" t="n">
        <x:v>0.729</x:v>
      </x:c>
      <x:c r="P86" s="45" t="n">
        <x:v>0.9134</x:v>
      </x:c>
      <x:c r="Q86" s="45" t="n">
        <x:v>0.9812</x:v>
      </x:c>
      <x:c r="R86" s="45" t="n">
        <x:v>0.402</x:v>
      </x:c>
      <x:c r="S86" s="45" t="n">
        <x:v>0.969</x:v>
      </x:c>
      <x:c r="T86" s="45" t="n">
        <x:v>1</x:v>
      </x:c>
      <x:c r="U86" s="45" t="n">
        <x:v>0.75</x:v>
      </x:c>
      <x:c r="V86" s="45" t="n">
        <x:v>3.54</x:v>
      </x:c>
      <x:c r="W86" s="45" t="n">
        <x:v>0</x:v>
      </x:c>
      <x:c r="X86" s="45" t="n">
        <x:v>11</x:v>
      </x:c>
      <x:c r="Y86" s="45" t="n">
        <x:v>0</x:v>
      </x:c>
      <x:c r="Z86" s="45" t="n">
        <x:v>0</x:v>
      </x:c>
      <x:c r="AA86" s="45" t="n">
        <x:v>0</x:v>
      </x:c>
      <x:c r="AB86" s="50" t="str">
        <x:f t="shared" si="10"/>
        <x:v>V3</x:v>
      </x:c>
      <x:c r="AC86" s="50" t="str">
        <x:f t="shared" si="11"/>
        <x:v>V2</x:v>
      </x:c>
      <x:c r="AD86" s="47" t="str">
        <x:v>Answer: passed / Consumer Decision: answered_partial / QA Grade: partial / Publication: review_required / Publication Reason: missing_expected_facets / Coverage: missing_expected_facets / RAG Coverage: insufficient / Answerable: False / Evidence: insufficient</x:v>
      </x:c>
    </x:row>
    <x:row r="87" ht="42" customHeight="1">
      <x:c r="A87" s="45" t="str">
        <x:v>EBX-Q-086</x:v>
      </x:c>
      <x:c r="B87" s="46" t="str">
        <x:v>Quản trị / Quản trị rủi ro (Risk Management) / Quản trị rủi ro liên quan đến tuân thủ pháp luật</x:v>
      </x:c>
      <x:c r="C87" s="46" t="str">
        <x:v>Quản lý rủi ro liên quan đến tuân thủ / quy định pháp luật</x:v>
      </x:c>
      <x:c r="D87" s="52" t="str">
        <x:v>Với trọng tâm là tổ chức chuyên trách EHS, chúng tôi thường xuyên theo dõi các quy định và xu hướng pháp luật về môi trường mới nhất, đồng thời xây dựng quy trình quản lý phản ánh đặc thù của từng cơ sở kinh doanh để đảm bảo các yêu cầu pháp lý được thực hiện thực tế tại hiện trường một cách hệ thống. Daewoong Pharmaceutical lấy nguyên tắc cơ bản là giảm thiểu rủi ro pháp lý bằng cách tuân thủ nghiêm ngặt các luật lệ, quy định trong và ngoài nước và tăng cường đạo đức doanh nghiệp. Đặc biệt, chúng tôi tập trung nguồn lực vào quản lý rủi ro thuế theo sự mở rộng kinh doanh toàn cầu. Bằng cách phân tích rõ ràng ý đồ của chính sách thuế và hệ thống luật thuế khác nhau theo từng quốc gia, chúng tôi nhận diện trước các rủi ro thuế và thực hiện các biện pháp phòng ngừa chủ động, từ đó kiểm soát hiệu quả khả năng vi phạm pháp luật liên quan đến thuế. Trong quá trình đánh giá rủi ro này, chúng tôi tích cực tận dụng sự tư vấn chuyên môn từ các chuyên gia thuế bên ngoài và lời khuyên từ cơ quan thuế, từ đó vận hành quy trình đưa ra quyết định khách quan và hợp lý. Để nâng cao hiệu quả tuân thủ pháp luật, chúng tôi vận hành hệ thống phản hồi bằng cách phản ánh kết quả rà soát pháp luật vào công việc thực tế và áp dụng các phương án cải thiện được rút ra từ việc xem xét phương án tuân thủ vào hiện trường. Ngoài ra, chúng tôi lập kế hoạch thực hiện chi tiết cho từng bộ phận để kiểm tra tình trạng thực hiện, đồng thời tổ chức đào tạo tuân thủ pháp luật cho cán bộ nhân viên nhằm nội hóa ý thức tuân thủ. Bên cạnh đó, thông qua các biện pháp hợp tác chặt chẽ giữa các bộ phận liên quan, chúng tôi phòng ngừa rủi ro vi phạm pháp luật từ nhiều góc độ và liên tục nâng cao hiệu quả quản lý.</x:v>
      </x:c>
      <x:c r="E87" s="49" t="str">
        <x:v>Daewoong Pharmaceutical đang giảm thiểu rủi ro pháp lý bằng cách tuân thủ nghiêm ngặt các luật lệ, quy định trong và ngoài nước và tăng cường đạo đức doanh nghiệp. Để phòng chống tham nhũng, chúng tôi đã đạt chứng nhận ISO 37001 (Hệ thống quản lý chống hối lộ) và vận hành hệ thống quản lý dựa trên tiêu chuẩn quốc tế, đồng thời thiết lập tổ chức chuyên trách Chương trình Tuân thủ Tự nguyện trong Giao dịch Công bằng (CP) để loại bỏ rủi ro giao dịch không công bằng. Để quản lý rủi ro thuế, chúng tôi đánh giá rủi ro dựa trên tư vấn của chuyên gia bên ngoài và lời khuyên từ cơ quan thuế, nghiêm cấm các hành vi sử dụng thiên đường thuế hoặc trốn thuế, và tuân thủ nguyên tắc giá thị trường để giảm thiểu rủi ro đánh thuế hai lần. Ngoài ra, với trọng tâm là tổ chức chuyên trách EHS, chúng tôi thường xuyên theo dõi các quy định và xu hướng pháp luật về môi trường mới nhất, vận hành quy trình quản lý hệ thống từ tiếp nhận pháp luật, rà soát, phản ánh, đào tạo đến kiểm tra tình trạng tuân thủ.</x:v>
      </x:c>
      <x:c r="F87" s="50" t="n">
        <x:f t="shared" si="8"/>
        <x:v>1</x:v>
      </x:c>
      <x:c r="G87" s="50" t="n">
        <x:f t="shared" si="9"/>
        <x:v>1</x:v>
      </x:c>
      <x:c r="H87" s="45" t="n">
        <x:v>716</x:v>
      </x:c>
      <x:c r="I87" s="45" t="n">
        <x:v>403</x:v>
      </x:c>
      <x:c r="J87" s="45" t="n">
        <x:v>8</x:v>
      </x:c>
      <x:c r="K87" s="45" t="n">
        <x:v>4</x:v>
      </x:c>
      <x:c r="L87" s="45" t="n">
        <x:v>88.6</x:v>
      </x:c>
      <x:c r="M87" s="45" t="n">
        <x:v>100</x:v>
      </x:c>
      <x:c r="N87" s="45" t="n">
        <x:v>0.277</x:v>
      </x:c>
      <x:c r="O87" s="45" t="n">
        <x:v>0.239</x:v>
      </x:c>
      <x:c r="P87" s="45" t="n">
        <x:v>0.9347</x:v>
      </x:c>
      <x:c r="Q87" s="45" t="n">
        <x:v>0.9356</x:v>
      </x:c>
      <x:c r="R87" s="45" t="n">
        <x:v>0.335</x:v>
      </x:c>
      <x:c r="S87" s="45" t="n">
        <x:v>0.645</x:v>
      </x:c>
      <x:c r="T87" s="45" t="n">
        <x:v>1</x:v>
      </x:c>
      <x:c r="U87" s="45" t="n">
        <x:v>0.8</x:v>
      </x:c>
      <x:c r="V87" s="45" t="n">
        <x:v>6.98</x:v>
      </x:c>
      <x:c r="W87" s="45" t="n">
        <x:v>7.44</x:v>
      </x:c>
      <x:c r="X87" s="45" t="n">
        <x:v>0</x:v>
      </x:c>
      <x:c r="Y87" s="45" t="n">
        <x:v>5</x:v>
      </x:c>
      <x:c r="Z87" s="45" t="n">
        <x:v>0</x:v>
      </x:c>
      <x:c r="AA87" s="45" t="n">
        <x:v>0</x:v>
      </x:c>
      <x:c r="AB87" s="50" t="str">
        <x:f t="shared" si="10"/>
        <x:v>V3</x:v>
      </x:c>
      <x:c r="AC87" s="50" t="str">
        <x:f t="shared" si="11"/>
        <x:v>V2</x:v>
      </x:c>
      <x:c r="AD87" s="47" t="str">
        <x:v>Answer: passed / Consumer Decision: answered / QA Grade: full / Publication: published / Publication Reason: complete_grounded_answer / Coverage: complete_grounded_answer / RAG Coverage: complete / Answerable: True / Evidence: medium_confidence</x:v>
      </x:c>
    </x:row>
    <x:row r="88" ht="42" customHeight="1">
      <x:c r="A88" s="45" t="str">
        <x:v>EBX-Q-087</x:v>
      </x:c>
      <x:c r="B88" s="46" t="str">
        <x:v>Quản trị / Chỉ số (Metrics) / Tình hình vi phạm pháp luật và tuân thủ</x:v>
      </x:c>
      <x:c r="C88" s="46" t="str">
        <x:v>Tuân thủ / Tình hình vi phạm pháp luật và tuân thủ</x:v>
      </x:c>
      <x:c r="D88" s="52" t="str">
        <x:v>Công ty quản lý một cách hệ thống các vi phạm pháp luật và quy định với trọng tâm là đội ngũ CP, đồng thời kiểm tra chặt chẽ tình hình quản trị tuân thủ dựa trên tổng hợp của Daewoong và Daewoong Pharmaceutical. Công ty liên tục giám sát các rủi ro vi phạm pháp luật và quy định có thể phát sinh trong nhiều lĩnh vực khác nhau, bao gồm các hành vi giao dịch không công bằng như hành vi gây cản trở cạnh tranh, bảo vệ thông tin khách hàng, cung cấp thông tin sản phẩm, tuân thủ quy định về sản phẩm giả, phòng chống tham nhũng và hối lộ. Xem xét tình hình kỷ luật tổng hợp của Daewoong và Daewoong Pharmaceutical, tính đến năm 2025, tổng số vụ kỷ luật được ghi nhận là 19 vụ. Con số này cho thấy xu hướng tăng dần với 1 vụ năm 2022, 8 vụ năm 2023 và 11 vụ năm 2024. Theo chi tiết từng trường hợp vi phạm, có 1 vụ vi phạm quảng cáo liên quan đến hoạt động marketing trong nước xảy ra vào năm 2025, trong khi xu hướng trước đó là 2 vụ năm 2022, 1 vụ năm 2023 và 0 vụ năm 2024. Ngoài ra, đối với các vi phạm quy định khác, có 1 vụ được xác nhận vào năm 2025, và trước đó có các trường hợp vi phạm là 1 vụ năm 2022, 1 vụ năm 2023 và 3 vụ năm 2024. Các trường hợp xử phạt hành chính và chế tài chính chính bao gồm xử phạt hành chính đối với hoạt động quảng cáo Urushot và đình chỉ sản xuất Phenostop trong 3 tháng vào năm 2023, và thực hiện biện pháp thu hồi sản phẩm vào năm 2024. Dựa trên các trường hợp xử phạt hành chính và phạt tiền từ bên ngoài này, công ty đang tăng cường hệ thống kiểm soát nội bộ và liên tục triển khai các hoạt động quản trị tuân thủ để ngăn ngừa vi phạm pháp luật và quy định.</x:v>
      </x:c>
      <x:c r="E88" s="49" t="str">
        <x:v>Để nâng cao nhận thức về bảo mật thông tin của cán bộ nhân viên, Daewoong Pharmaceutical thực hiện đào tạo onboarding hàng quý cho nhân viên mới có kinh nghiệm và đào tạo nửa năm một lần cho nhân viên mới và thực tập sinh, qua đó hướng dẫn về chính sách bảo mật thông tin, tuân thủ quyền riêng tư, cách sử dụng giải pháp bảo mật và quy trình chế tài khi vi phạm.</x:v>
      </x:c>
      <x:c r="F88" s="50" t="n">
        <x:f t="shared" si="8"/>
        <x:v>1</x:v>
      </x:c>
      <x:c r="G88" s="50" t="n">
        <x:f t="shared" si="9"/>
        <x:v>1</x:v>
      </x:c>
      <x:c r="H88" s="45" t="n">
        <x:v>695</x:v>
      </x:c>
      <x:c r="I88" s="45" t="n">
        <x:v>146</x:v>
      </x:c>
      <x:c r="J88" s="45" t="n">
        <x:v>8</x:v>
      </x:c>
      <x:c r="K88" s="45" t="n">
        <x:v>1</x:v>
      </x:c>
      <x:c r="L88" s="45" t="n">
        <x:v>86</x:v>
      </x:c>
      <x:c r="M88" s="45" t="n">
        <x:v>146</x:v>
      </x:c>
      <x:c r="N88" s="45" t="n">
        <x:v>0.247</x:v>
      </x:c>
      <x:c r="O88" s="45" t="n">
        <x:v>0</x:v>
      </x:c>
      <x:c r="P88" s="45" t="n">
        <x:v>0.8887</x:v>
      </x:c>
      <x:c r="Q88" s="45" t="n">
        <x:v>0.9211</x:v>
      </x:c>
      <x:c r="R88" s="45" t="n">
        <x:v>0.204</x:v>
      </x:c>
      <x:c r="S88" s="45" t="n">
        <x:v>0.752</x:v>
      </x:c>
      <x:c r="T88" s="45" t="n">
        <x:v>1</x:v>
      </x:c>
      <x:c r="U88" s="45" t="n">
        <x:v>0.2</x:v>
      </x:c>
      <x:c r="V88" s="45" t="n">
        <x:v>8.63</x:v>
      </x:c>
      <x:c r="W88" s="45" t="n">
        <x:v>0</x:v>
      </x:c>
      <x:c r="X88" s="45" t="n">
        <x:v>71</x:v>
      </x:c>
      <x:c r="Y88" s="45" t="n">
        <x:v>0</x:v>
      </x:c>
      <x:c r="Z88" s="45" t="n">
        <x:v>0</x:v>
      </x:c>
      <x:c r="AA88" s="45" t="n">
        <x:v>0</x:v>
      </x:c>
      <x:c r="AB88" s="50" t="str">
        <x:f t="shared" si="10"/>
        <x:v>V3</x:v>
      </x:c>
      <x:c r="AC88" s="50" t="str">
        <x:f t="shared" si="11"/>
        <x:v>V2</x:v>
      </x:c>
      <x:c r="AD88" s="47" t="str">
        <x:v>Answer: passed / Consumer Decision: answered / QA Grade: full / Publication: published / Publication Reason: complete_grounded_answer / Coverage: complete_grounded_answer / RAG Coverage: complete / Answerable: True / Evidence: high_confidence</x:v>
      </x:c>
    </x:row>
    <x:row r="89" ht="42" customHeight="1">
      <x:c r="A89" s="45" t="str">
        <x:v>EBX-Q-088</x:v>
      </x:c>
      <x:c r="B89" s="46" t="str">
        <x:v>Quản trị / Chiến lược (Strategy) / Chính sách cơ cấu sở hữu và quyền cổ đông</x:v>
      </x:c>
      <x:c r="C89" s="46" t="str">
        <x:v>Sở hữu/Vận hành doanh nghiệp / Chính sách cơ cấu sở hữu và quyền cổ đông</x:v>
      </x:c>
      <x:c r="D89" s="52" t="str">
        <x:v>Công ty thường xuyên thu thập ý kiến cổ đông thông qua đội ngũ IR, đồng thời cung cấp giải thích đầy đủ cho cổ đông khi thiết lập chính sách huy động vốn hoặc khi có thay đổi về cơ cấu sở hữu và hoạt động kinh doanh chính, cũng như tìm kiếm các phương án bảo vệ quyền lợi của cổ đông phản đối và thu thập ý kiến của cổ đông nhỏ lẻ. Trong năm công bố, không có sự kiện nào gây ra thay đổi trọng yếu về cơ cấu sở hữu hoặc hoạt động kinh doanh chính như sáp nhập, chuyển nhượng kinh doanh, chia tách (bao gồm chia tách vật chất), trao đổi hoặc chuyển nhượng cổ phiếu toàn diện. Như một phần của chính sách bổ sung nhằm bảo vệ quyền lợi cổ đông, Daewoong Pharmaceutical đã áp dụng hệ thống bỏ phiếu điện tử tại Đại hội đồng cổ đông để tăng tính tiện lợi trong việc thực hiện quyền biểu quyết. Ngoài ra, công ty tăng cường giao tiếp với cổ đông và thúc đẩy vận hành doanh nghiệp minh bạch bằng cách đảm bảo thời gian đặt câu hỏi và trả lời để các cổ đông nhỏ lẻ có thể bày tỏ ý kiến đầy đủ trong quá trình họp Đại hội đồng cổ đông.</x:v>
      </x:c>
      <x:c r="E89" s="49" t="str">
        <x:v>Daewoong Pharmaceutical đang vận hành các chính sách bổ sung như áp dụng bỏ phiếu điện tử, dành thời gian đặt câu hỏi và trả lời tại Đại hội đồng cổ đông, và thu thập ý kiến thông qua đội ngũ IR để thu thập ý kiến của cổ đông nhỏ lẻ và bảo vệ quyền lợi của các cổ đông phản đối.</x:v>
      </x:c>
      <x:c r="F89" s="50" t="n">
        <x:f t="shared" si="8"/>
        <x:v>1</x:v>
      </x:c>
      <x:c r="G89" s="50" t="n">
        <x:f t="shared" si="9"/>
        <x:v>1</x:v>
      </x:c>
      <x:c r="H89" s="45" t="n">
        <x:v>391</x:v>
      </x:c>
      <x:c r="I89" s="45" t="n">
        <x:v>104</x:v>
      </x:c>
      <x:c r="J89" s="45" t="n">
        <x:v>4</x:v>
      </x:c>
      <x:c r="K89" s="45" t="n">
        <x:v>1</x:v>
      </x:c>
      <x:c r="L89" s="45" t="n">
        <x:v>97</x:v>
      </x:c>
      <x:c r="M89" s="45" t="n">
        <x:v>104</x:v>
      </x:c>
      <x:c r="N89" s="45" t="n">
        <x:v>0.173</x:v>
      </x:c>
      <x:c r="O89" s="45" t="n">
        <x:v>0</x:v>
      </x:c>
      <x:c r="P89" s="45" t="n">
        <x:v>0.9633</x:v>
      </x:c>
      <x:c r="Q89" s="45" t="n">
        <x:v>0.963</x:v>
      </x:c>
      <x:c r="R89" s="45" t="n">
        <x:v>0.414</x:v>
      </x:c>
      <x:c r="S89" s="45" t="n">
        <x:v>0.611</x:v>
      </x:c>
      <x:c r="T89" s="45" t="n">
        <x:v>0.333</x:v>
      </x:c>
      <x:c r="U89" s="45" t="n">
        <x:v>0.333</x:v>
      </x:c>
      <x:c r="V89" s="45" t="n">
        <x:v>2.56</x:v>
      </x:c>
      <x:c r="W89" s="45" t="n">
        <x:v>9.62</x:v>
      </x:c>
      <x:c r="X89" s="45" t="n">
        <x:v>0</x:v>
      </x:c>
      <x:c r="Y89" s="45" t="n">
        <x:v>0</x:v>
      </x:c>
      <x:c r="Z89" s="45" t="n">
        <x:v>0</x:v>
      </x:c>
      <x:c r="AA89" s="45" t="n">
        <x:v>0</x:v>
      </x:c>
      <x:c r="AB89" s="50" t="str">
        <x:f t="shared" si="10"/>
        <x:v>V3</x:v>
      </x:c>
      <x:c r="AC89" s="50" t="str">
        <x:f t="shared" si="11"/>
        <x:v>Đồng hạng</x:v>
      </x:c>
      <x:c r="AD89" s="47" t="str">
        <x:v>Answer: passed / Consumer Decision: answered_partial / QA Grade: partial / Publication: review_required / Publication Reason: partial_answer / Coverage: partial_answer / RAG Coverage: insufficient / Answerable: False / Evidence: insufficient</x:v>
      </x:c>
    </x:row>
    <x:row r="90" ht="42" customHeight="1">
      <x:c r="A90" s="45" t="str">
        <x:v>EBX-Q-089</x:v>
      </x:c>
      <x:c r="B90" s="46" t="str">
        <x:v>Quản trị / Quản trị (Governance) / Cơ cấu sở hữu và Hệ thống quản lý vận hành</x:v>
      </x:c>
      <x:c r="C90" s="46" t="str">
        <x:v>Sở hữu/Vận hành doanh nghiệp / Cơ cấu sở hữu và Hệ thống quản lý vận hành</x:v>
      </x:c>
      <x:c r="D90" s="52" t="str">
        <x:v>Nhóm IR đang nỗ lực triển khai nhiều biện pháp bảo vệ cổ đông đa dạng, chẳng hạn như cung cấp giải thích đầy đủ cho cổ đông về cơ cấu sở hữu của doanh nghiệp khi có sự khác biệt về lợi ích giữa các cổ đông, những thay đổi trong hoạt động kinh doanh chính, cũng như các chính sách huy động vốn, đồng thời thu thập ý kiến từ các cổ đông nhỏ. Đặc biệt, công ty đã thiết lập chính sách ưu tiên hàng đầu việc thu thập ý kiến và bảo vệ quyền lợi của cổ đông nhỏ, thông qua việc áp dụng hệ thống bỏ phiếu điện tử tại Đại hội đồng cổ đông nhằm tạo môi trường thuận lợi và suôn sẻ hơn cho cổ đông thực hiện quyền biểu quyết. Ngoài ra, công ty tăng cường giao tiếp giữa ban điều hành và cổ đông bằng cách dành đủ thời gian cho việc đặt câu hỏi và trả lời trong quá trình họp Đại hội đồng cổ đông, đồng thời vận hành chặt chẽ các chính sách bổ sung để bảo vệ quyền và lợi ích của cổ đông thông qua hệ thống thu thập ý kiến thường xuyên của nhóm IR. Thông qua phương thức quản lý hệ thống này, công ty tập trung vào việc nâng cao tính minh bạch trong vận hành doanh nghiệp và gia tăng giá trị cho cổ đông. Daewoong Pharmaceutical xác nhận rằng trong năm công bố, không có thay đổi lớn nào xảy ra có thể gây ảnh hưởng nghiêm trọng đến cơ cấu sở hữu hoặc hoạt động kinh doanh chính của doanh nghiệp, chẳng hạn như sáp nhập, chuyển nhượng kinh doanh, chia tách và chia tách vật chất, hoặc trao đổi hay chuyển nhượng cổ phiếu toàn diện. Trong tương lai, nếu có thay đổi về cơ cấu sở hữu hoặc hoạt động kinh doanh chính, công ty có kế hoạch quản lý chặt chẽ để đảm bảo quyền lợi của cổ đông không bị xâm phạm thông qua quá trình cung cấp đầy đủ thông tin và thu thập ý kiến theo chính sách bảo vệ cổ đông.</x:v>
      </x:c>
      <x:c r="E90" s="49" t="str">
        <x:v>Daewoong Pharmaceutical xác nhận rằng trong năm công bố, không xảy ra các sự kiện gây thay đổi trọng yếu đối với cơ cấu sở hữu hoặc hoạt động kinh doanh chính của doanh nghiệp như sáp nhập, chuyển nhượng kinh doanh, chia tách (bao gồm chia tách vật chất), trao đổi hoặc chuyển nhượng cổ phiếu toàn diện.</x:v>
      </x:c>
      <x:c r="F90" s="50" t="n">
        <x:f t="shared" si="8"/>
        <x:v>1</x:v>
      </x:c>
      <x:c r="G90" s="50" t="n">
        <x:f t="shared" si="9"/>
        <x:v>1</x:v>
      </x:c>
      <x:c r="H90" s="45" t="n">
        <x:v>661</x:v>
      </x:c>
      <x:c r="I90" s="45" t="n">
        <x:v>104</x:v>
      </x:c>
      <x:c r="J90" s="45" t="n">
        <x:v>6</x:v>
      </x:c>
      <x:c r="K90" s="45" t="n">
        <x:v>1</x:v>
      </x:c>
      <x:c r="L90" s="45" t="n">
        <x:v>109.3</x:v>
      </x:c>
      <x:c r="M90" s="45" t="n">
        <x:v>104</x:v>
      </x:c>
      <x:c r="N90" s="45" t="n">
        <x:v>0.217</x:v>
      </x:c>
      <x:c r="O90" s="45" t="n">
        <x:v>0</x:v>
      </x:c>
      <x:c r="P90" s="45" t="n">
        <x:v>0.9582</x:v>
      </x:c>
      <x:c r="Q90" s="45" t="n">
        <x:v>1</x:v>
      </x:c>
      <x:c r="R90" s="45" t="n">
        <x:v>0.269</x:v>
      </x:c>
      <x:c r="S90" s="45" t="n">
        <x:v>1</x:v>
      </x:c>
      <x:c r="T90" s="45" t="n">
        <x:v>0.75</x:v>
      </x:c>
      <x:c r="U90" s="45" t="n">
        <x:v>0</x:v>
      </x:c>
      <x:c r="V90" s="45" t="n">
        <x:v>3.03</x:v>
      </x:c>
      <x:c r="W90" s="45" t="n">
        <x:v>0</x:v>
      </x:c>
      <x:c r="X90" s="45" t="n">
        <x:v>0</x:v>
      </x:c>
      <x:c r="Y90" s="45" t="n">
        <x:v>0</x:v>
      </x:c>
      <x:c r="Z90" s="45" t="n">
        <x:v>0</x:v>
      </x:c>
      <x:c r="AA90" s="45" t="n">
        <x:v>0</x:v>
      </x:c>
      <x:c r="AB90" s="50" t="str">
        <x:f t="shared" si="10"/>
        <x:v>V3</x:v>
      </x:c>
      <x:c r="AC90" s="50" t="str">
        <x:f t="shared" si="11"/>
        <x:v>V2</x:v>
      </x:c>
      <x:c r="AD90" s="47" t="str">
        <x:v>Answer: passed / Consumer Decision: answered_partial / QA Grade: partial / Publication: review_required / Publication Reason: missing_expected_facets / Coverage: missing_expected_facets / RAG Coverage: insufficient / Answerable: False / Evidence: insufficient</x:v>
      </x:c>
    </x:row>
    <x:row r="91" ht="42" customHeight="1">
      <x:c r="A91" s="45" t="str">
        <x:v>EBX-Q-090</x:v>
      </x:c>
      <x:c r="B91" s="46" t="str">
        <x:v>Quản trị / Quản lý rủi ro (Risk Management) / Quản lý rủi ro liên quan đến cơ cấu sở hữu</x:v>
      </x:c>
      <x:c r="C91" s="46" t="str">
        <x:v>Quản trị quyền sở hữu/vận hành doanh nghiệp / Quản lý rủi ro liên quan đến cấu trúc sở hữu</x:v>
      </x:c>
      <x:c r="D91" s="48" t="str">
        <x:v>Hội đồng quản trị tuân thủ nghiêm ngặt việc kiểm soát giao dịch nội bộ và tự giao dịch bằng cách thực hiện quy trình phê duyệt khi giao dịch với các cổ đông chính hoặc các công ty có lo ngại về xung đột lợi ích do kiêm nhiệm chức vụ giám đốc theo Điều 398 của Luật Thương mại. Daewoong Pharmaceutical cung cấp giải thích đầy đủ, xem xét sự khác biệt về lợi ích giữa các cổ đông khi thay đổi cấu trúc sở hữu doanh nghiệp, thay đổi hoạt động kinh doanh chính hoặc thiết lập chính sách huy động vốn, đồng thời tìm kiếm các phương án đa dạng để thu thập ý kiến của cổ đông nhỏ và bảo vệ quyền lợi của các cổ đông phản đối. Để bảo vệ quyền lợi thực tế của cổ đông, công ty đã áp dụng hệ thống bỏ phiếu điện tử nhằm tăng tính tiện lợi trong việc thực hiện quyền biểu quyết, và tạo môi trường để các cổ đông nhỏ có thể tự do bày tỏ ý kiến bằng cách dành đủ thời gian cho việc đặt câu hỏi và trả lời trong Đại hội đồng cổ đông. Ngoài ra, công ty vận hành hệ thống thu thập ý kiến thường xuyên thông qua đội ngũ IR như một chính sách bổ trợ. Trong năm công bố, Daewoong Pharmaceutical không xảy ra các vấn đề gây thay đổi trọng yếu về cấu trúc sở hữu hoặc hoạt động kinh doanh chính như sáp nhập, chuyển nhượng kinh doanh, chia tách (bao gồm chia tách vật chất), trao đổi hoặc chuyển nhượng cổ phiếu toàn diện.</x:v>
      </x:c>
      <x:c r="E91" s="49" t="str">
        <x:v>Công ty cung cấp giải thích đầy đủ cho cổ đông liên quan đến thay đổi cấu trúc sở hữu doanh nghiệp, thay đổi hoạt động kinh doanh chính và chính sách huy động vốn, đồng thời tìm kiếm các phương án thu thập ý kiến của cổ đông nhỏ và bảo vệ quyền lợi của các cổ đông phản đối. Để đạt được điều này, công ty vận hành các chính sách bổ trợ như áp dụng bỏ phiếu điện tử, dành đủ thời gian đặt câu hỏi và trả lời trong Đại hội đồng cổ đông, và thu thập ý kiến thông qua đội ngũ IR. Ngoài ra, công ty tuân thủ kiểm soát giao dịch nội bộ và tự giao dịch, chẳng hạn như xin phê duyệt từ Hội đồng quản trị đối với các giao dịch với cổ đông chính hoặc các giao dịch có lo ngại về xung đột lợi ích do kiêm nhiệm chức vụ giám đốc theo Điều 398 của Luật Thương mại.</x:v>
      </x:c>
      <x:c r="F91" s="50" t="n">
        <x:f t="shared" si="8"/>
        <x:v>1</x:v>
      </x:c>
      <x:c r="G91" s="50" t="n">
        <x:f t="shared" si="9"/>
        <x:v>1</x:v>
      </x:c>
      <x:c r="H91" s="45" t="n">
        <x:v>509</x:v>
      </x:c>
      <x:c r="I91" s="45" t="n">
        <x:v>283</x:v>
      </x:c>
      <x:c r="J91" s="45" t="n">
        <x:v>5</x:v>
      </x:c>
      <x:c r="K91" s="45" t="n">
        <x:v>3</x:v>
      </x:c>
      <x:c r="L91" s="45" t="n">
        <x:v>101</x:v>
      </x:c>
      <x:c r="M91" s="45" t="n">
        <x:v>93.7</x:v>
      </x:c>
      <x:c r="N91" s="45" t="n">
        <x:v>0.283</x:v>
      </x:c>
      <x:c r="O91" s="45" t="n">
        <x:v>0.142</x:v>
      </x:c>
      <x:c r="P91" s="45" t="n">
        <x:v>0.9393</x:v>
      </x:c>
      <x:c r="Q91" s="45" t="n">
        <x:v>0.9178</x:v>
      </x:c>
      <x:c r="R91" s="45" t="n">
        <x:v>0.405</x:v>
      </x:c>
      <x:c r="S91" s="45" t="n">
        <x:v>0.683</x:v>
      </x:c>
      <x:c r="T91" s="45" t="n">
        <x:v>0</x:v>
      </x:c>
      <x:c r="U91" s="45" t="n">
        <x:v>0.25</x:v>
      </x:c>
      <x:c r="V91" s="45" t="n">
        <x:v>1.96</x:v>
      </x:c>
      <x:c r="W91" s="45" t="n">
        <x:v>3.53</x:v>
      </x:c>
      <x:c r="X91" s="45" t="n">
        <x:v>3</x:v>
      </x:c>
      <x:c r="Y91" s="45" t="n">
        <x:v>3</x:v>
      </x:c>
      <x:c r="Z91" s="45" t="n">
        <x:v>0</x:v>
      </x:c>
      <x:c r="AA91" s="45" t="n">
        <x:v>0</x:v>
      </x:c>
      <x:c r="AB91" s="50" t="str">
        <x:f t="shared" si="10"/>
        <x:v>V3</x:v>
      </x:c>
      <x:c r="AC91" s="50" t="str">
        <x:f t="shared" si="11"/>
        <x:v>V3</x:v>
      </x:c>
      <x:c r="AD91" s="47" t="str">
        <x:v>Answer: passed / Consumer Decision: answered_partial / QA Grade: partial / Publication: review_required / Publication Reason: missing_expected_facets / Coverage: missing_expected_facets / RAG Coverage: insufficient / Answerable: False / Evidence: insufficient</x:v>
      </x:c>
    </x:row>
    <x:row r="92" ht="42" customHeight="1">
      <x:c r="A92" s="45" t="str">
        <x:v>EBX-Q-091</x:v>
      </x:c>
      <x:c r="B92" s="46" t="str">
        <x:v>Quản trị / Chỉ số (Metrics) / Cấu trúc sở hữu và tình hình cổ đông</x:v>
      </x:c>
      <x:c r="C92" s="46" t="str">
        <x:v>Quản trị quyền sở hữu/vận hành doanh nghiệp / Cấu trúc sở hữu và tình hình cổ đông</x:v>
      </x:c>
      <x:c r="D92" s="48" t="str">
        <x:v>Daewoong Pharmaceutical đang thực hiện bảo vệ cổ đông bằng cách cung cấp giải thích đầy đủ cho các cổ đông khi thiết lập cấu trúc sở hữu doanh nghiệp, thay đổi hoạt động kinh doanh chính hoặc chính sách huy động vốn, đồng thời tìm kiếm các phương án để thu thập ý kiến của các cổ đông nhỏ lẻ và bảo vệ quyền lợi của các cổ đông phản đối. Đặc biệt, trong năm đối tượng công bố, không có sự kiện nào gây ra thay đổi trọng yếu trong cấu trúc sở hữu doanh nghiệp hoặc hoạt động kinh doanh chính như sáp nhập, chuyển nhượng kinh doanh, chia tách và chia tách vật chất, trao đổi hoặc chuyển nhượng cổ phiếu toàn diện. Xem xét hiện trạng cấu trúc vốn và sở hữu, tính đến năm 2025, vốn điều lệ cổ phần phổ thông là 28,9664375 tỷ won và lợi ích cổ đông không kiểm soát được ghi nhận là 128,562439756 tỷ won. Ngoài ra, quy mô tổng vốn góp vào các công ty liên kết so với vốn chủ sở hữu được xác nhận là duy trì ở một mức độ nhất định, ghi nhận 31,0% năm 2022, 44,030668127053666% năm 2023, 42,07119741100323% năm 2024 và 41,93832599118943% vào năm 2025. Thông qua việc quản lý các chỉ số này, Daewoong Pharmaceutical đang tập trung vào việc duy trì cấu trúc sở hữu minh bạch và tạo dựng môi trường quản trị ổn định, cân nhắc đến lợi ích giữa các cổ đông.</x:v>
      </x:c>
      <x:c r="E92" s="49" t="str">
        <x:v>Daewoong Pharmaceutical đang giải thích đầy đủ cho các cổ đông liên quan đến cấu trúc sở hữu doanh nghiệp, thay đổi hoạt động kinh doanh chính và chính sách huy động vốn, đồng thời tìm kiếm các phương án thu thập ý kiến của cổ đông nhỏ lẻ và bảo vệ quyền lợi của cổ đông phản đối. Ngoài ra, để bảo vệ quyền lợi của cổ đông nhỏ lẻ, công ty đang vận hành các chính sách bổ sung như áp dụng bỏ phiếu điện tử, dành đủ thời gian đặt câu hỏi và trả lời trong đại hội đồng cổ đông, và thu thập ý kiến thông qua đội ngũ IR.</x:v>
      </x:c>
      <x:c r="F92" s="50" t="n">
        <x:f t="shared" si="8"/>
        <x:v>1</x:v>
      </x:c>
      <x:c r="G92" s="50" t="n">
        <x:f t="shared" si="9"/>
        <x:v>1</x:v>
      </x:c>
      <x:c r="H92" s="45" t="n">
        <x:v>570</x:v>
      </x:c>
      <x:c r="I92" s="45" t="n">
        <x:v>190</x:v>
      </x:c>
      <x:c r="J92" s="45" t="n">
        <x:v>5</x:v>
      </x:c>
      <x:c r="K92" s="45" t="n">
        <x:v>2</x:v>
      </x:c>
      <x:c r="L92" s="45" t="n">
        <x:v>113.2</x:v>
      </x:c>
      <x:c r="M92" s="45" t="n">
        <x:v>94.5</x:v>
      </x:c>
      <x:c r="N92" s="45" t="n">
        <x:v>0.26</x:v>
      </x:c>
      <x:c r="O92" s="45" t="n">
        <x:v>0.048</x:v>
      </x:c>
      <x:c r="P92" s="45" t="n">
        <x:v>0.9607</x:v>
      </x:c>
      <x:c r="Q92" s="45" t="n">
        <x:v>0.8667</x:v>
      </x:c>
      <x:c r="R92" s="45" t="n">
        <x:v>0.395</x:v>
      </x:c>
      <x:c r="S92" s="45" t="n">
        <x:v>0.669</x:v>
      </x:c>
      <x:c r="T92" s="45" t="n">
        <x:v>0.667</x:v>
      </x:c>
      <x:c r="U92" s="45" t="n">
        <x:v>0.333</x:v>
      </x:c>
      <x:c r="V92" s="45" t="n">
        <x:v>0</x:v>
      </x:c>
      <x:c r="W92" s="45" t="n">
        <x:v>5.26</x:v>
      </x:c>
      <x:c r="X92" s="45" t="n">
        <x:v>93</x:v>
      </x:c>
      <x:c r="Y92" s="45" t="n">
        <x:v>0</x:v>
      </x:c>
      <x:c r="Z92" s="45" t="n">
        <x:v>0</x:v>
      </x:c>
      <x:c r="AA92" s="45" t="n">
        <x:v>0</x:v>
      </x:c>
      <x:c r="AB92" s="50" t="str">
        <x:f t="shared" si="10"/>
        <x:v>V3</x:v>
      </x:c>
      <x:c r="AC92" s="50" t="str">
        <x:f t="shared" si="11"/>
        <x:v>V2</x:v>
      </x:c>
      <x:c r="AD92" s="47" t="str">
        <x:v>Answer: passed / Consumer Decision: answered / QA Grade: full / Publication: published / Publication Reason: complete_grounded_answer / Coverage: complete_grounded_answer / RAG Coverage: complete / Answerable: True / Evidence: high_confidence</x:v>
      </x:c>
    </x:row>
    <x:row r="93" ht="42" customHeight="1">
      <x:c r="A93" s="45" t="str">
        <x:v>EBX-Q-092</x:v>
      </x:c>
      <x:c r="B93" s="46" t="str">
        <x:v>Quản trị / Chiến lược (Strategy) / Chính sách và định hướng giao tiếp với các bên liên quan</x:v>
      </x:c>
      <x:c r="C93" s="46" t="str">
        <x:v>Giao tiếp với các bên liên quan / Chính sách và định hướng giao tiếp với các bên liên quan</x:v>
      </x:c>
      <x:c r="D93" s="48" t="str">
        <x:v>Daewoong Pharmaceutical định nghĩa cán bộ nhân viên, cổ đông và nhà đầu tư, khách hàng, đối tác, cộng đồng địa phương, chính phủ và chính quyền địa phương, NGO là các bên liên quan chính, đồng thời vận hành hệ thống giao tiếp tích cực bằng cách xây dựng các kênh truyền thông chuyên biệt được tối ưu hóa cho đặc điểm và yêu cầu của từng nhóm. Định hướng cốt lõi của việc giao tiếp này là thu thập ý kiến của các bên liên quan đa dạng một cách hệ thống để phản ánh thực tế vào chiến lược kinh doanh, từ đó thực hiện nghiêm túc trách nhiệm xã hội của doanh nghiệp và tạo ra giá trị bền vững đáp ứng kỳ vọng của mỗi nhóm. Để hiện thực hóa chính sách giao tiếp minh bạch và có trách nhiệm, Daewoong Pharmaceutical công khai minh bạch các hoạt động và thành quả ESG chính ra bên ngoài thông qua việc xuất bản Báo cáo Phát triển Bền vững và vận hành trang web chính thức. Đặc biệt, nhằm tăng cường hợp tác cùng có lợi với các bên liên quan bên ngoài, công ty triển khai giao tiếp dưới góc độ hài lòng của khách hàng đối với các đối tác cung cấp sản phẩm và dịch vụ cần thiết cho hoạt động doanh nghiệp, đồng thời duy trì mối quan hệ hợp tác chặt chẽ vì sự tăng trưởng đồng hành với cư dân địa phương nơi có cơ sở kinh doanh và các bên liên quan trong cộng đồng bị ảnh hưởng bởi hoạt động kinh doanh. Trong giao tiếp với thành viên nội bộ, công ty tích cực lắng nghe tiếng nói của nhân viên bằng cách kích hoạt đa dạng các kênh thu thập ý kiến như công đoàn, Hội đồng Hanmaeum và kênh xử lý khiếu nại của cán bộ nhân viên. Thông qua đó, các ý kiến và yêu cầu tiếp nhận được quản lý để thực hiện các biện pháp xử lý phù hợp theo quy định và phương châm của công ty, tập trung vào việc nâng cao mức độ hài lòng của thành viên nội bộ và tạo dựng văn hóa tổ chức lành mạnh.</x:v>
      </x:c>
      <x:c r="E93" s="51"/>
      <x:c r="F93" s="50" t="n">
        <x:f t="shared" si="8"/>
        <x:v>1</x:v>
      </x:c>
      <x:c r="G93" s="50" t="n">
        <x:f t="shared" si="9"/>
        <x:v>0</x:v>
      </x:c>
      <x:c r="H93" s="45" t="n">
        <x:v>718</x:v>
      </x:c>
      <x:c r="I93" s="45" t="n">
        <x:v>0</x:v>
      </x:c>
      <x:c r="J93" s="45" t="n">
        <x:v>6</x:v>
      </x:c>
      <x:c r="K93" s="45" t="n">
        <x:v>0</x:v>
      </x:c>
      <x:c r="L93" s="45" t="n">
        <x:v>118.8</x:v>
      </x:c>
      <x:c r="M93" s="45" t="n">
        <x:v>0</x:v>
      </x:c>
      <x:c r="N93" s="45" t="n">
        <x:v>0.188</x:v>
      </x:c>
      <x:c r="O93" s="45" t="n">
        <x:v>0</x:v>
      </x:c>
      <x:c r="P93" s="45" t="n">
        <x:v>0.9832</x:v>
      </x:c>
      <x:c r="Q93" s="45" t="n">
        <x:v>0</x:v>
      </x:c>
      <x:c r="R93" s="45" t="n">
        <x:v>0.321</x:v>
      </x:c>
      <x:c r="S93" s="45" t="n">
        <x:v>0</x:v>
      </x:c>
      <x:c r="T93" s="45" t="n">
        <x:v>1</x:v>
      </x:c>
      <x:c r="U93" s="45" t="n">
        <x:v>0</x:v>
      </x:c>
      <x:c r="V93" s="45" t="n">
        <x:v>6.96</x:v>
      </x:c>
      <x:c r="W93" s="45" t="n">
        <x:v>0</x:v>
      </x:c>
      <x:c r="X93" s="45" t="n">
        <x:v>0</x:v>
      </x:c>
      <x:c r="Y93" s="45" t="n">
        <x:v>0</x:v>
      </x:c>
      <x:c r="Z93" s="45" t="n">
        <x:v>0</x:v>
      </x:c>
      <x:c r="AA93" s="45" t="n">
        <x:v>0</x:v>
      </x:c>
      <x:c r="AB93" s="50" t="str">
        <x:f t="shared" si="10"/>
        <x:v>Không thể so sánh</x:v>
      </x:c>
      <x:c r="AC93" s="50" t="str">
        <x:f t="shared" si="11"/>
        <x:v>Không thể so sánh</x:v>
      </x:c>
      <x:c r="AD93" s="47" t="str">
        <x:v>Answer: failed / Consumer Decision: blocked_api_status / QA Grade: failed / Publication: blocked / Publication Reason: qa_not_passed / Coverage: writer_empty / RAG Coverage: insufficient / Answerable: False / Evidence: insufficient</x:v>
      </x:c>
    </x:row>
    <x:row r="94" ht="42" customHeight="1">
      <x:c r="A94" s="45" t="str">
        <x:v>EBX-Q-093</x:v>
      </x:c>
      <x:c r="B94" s="46" t="str">
        <x:v>Quản trị / Quản trị (Governance) / Hệ thống quản lý giao tiếp với các bên liên quan</x:v>
      </x:c>
      <x:c r="C94" s="46" t="str">
        <x:v>Giao tiếp với các bên liên quan / Hệ thống quản lý giao tiếp với các bên liên quan</x:v>
      </x:c>
      <x:c r="D94" s="48" t="str">
        <x:v>Hội đồng quản trị đang thực hiện trách nhiệm giám sát, liên tục bổ sung các chính sách và quy định liên quan để chẩn đoán và quản lý trước các rủi ro vi phạm nhân quyền. Daewoong Pharmaceutical đã thiết lập và vận hành chính sách quản trị nhân quyền tôn trọng nhân quyền của nhân viên và các bên liên quan, đồng thời xây dựng hệ thống chẩn đoán và quản lý rủi ro nhân quyền một cách hệ thống bằng cách thực hiện đánh giá tác động nhân quyền đối với các địa điểm kinh doanh của trụ sở chính. Ngoài ra, công ty đang tích cực thu thập ý kiến của các thành viên thông qua nhiều kênh giao tiếp khác nhau như công đoàn, Hội đồng Hanmaeum và các kênh giải quyết khiếu nại của nhân viên. Các ý kiến và yêu cầu tiếp nhận thông qua các kênh này được vận hành để đảm bảo các biện pháp xử lý thích hợp theo quy định và phương châm nội bộ của công ty.</x:v>
      </x:c>
      <x:c r="E94" s="49" t="str">
        <x:v>Daewoong Pharmaceutical đã thiết lập và vận hành chính sách quản trị nhân quyền để tôn trọng nhân quyền của nhân viên và các bên liên quan, đồng thời Hội đồng quản trị liên tục bổ sung các chính sách và quy định liên quan. Ngoài ra, công ty đã thiết lập và đang vận hành hệ thống có thể chẩn đoán và quản lý rủi ro nhân quyền bằng cách thực hiện đánh giá tác động nhân quyền tại các địa điểm kinh doanh của trụ sở chính.</x:v>
      </x:c>
      <x:c r="F94" s="50" t="n">
        <x:f t="shared" si="8"/>
        <x:v>1</x:v>
      </x:c>
      <x:c r="G94" s="50" t="n">
        <x:f t="shared" si="9"/>
        <x:v>1</x:v>
      </x:c>
      <x:c r="H94" s="45" t="n">
        <x:v>324</x:v>
      </x:c>
      <x:c r="I94" s="45" t="n">
        <x:v>153</x:v>
      </x:c>
      <x:c r="J94" s="45" t="n">
        <x:v>4</x:v>
      </x:c>
      <x:c r="K94" s="45" t="n">
        <x:v>2</x:v>
      </x:c>
      <x:c r="L94" s="45" t="n">
        <x:v>80.2</x:v>
      </x:c>
      <x:c r="M94" s="45" t="n">
        <x:v>76</x:v>
      </x:c>
      <x:c r="N94" s="45" t="n">
        <x:v>0.239</x:v>
      </x:c>
      <x:c r="O94" s="45" t="n">
        <x:v>0.158</x:v>
      </x:c>
      <x:c r="P94" s="45" t="n">
        <x:v>0.978</x:v>
      </x:c>
      <x:c r="Q94" s="45" t="n">
        <x:v>0.9706</x:v>
      </x:c>
      <x:c r="R94" s="45" t="n">
        <x:v>0.322</x:v>
      </x:c>
      <x:c r="S94" s="45" t="n">
        <x:v>0.681</x:v>
      </x:c>
      <x:c r="T94" s="45" t="n">
        <x:v>1</x:v>
      </x:c>
      <x:c r="U94" s="45" t="n">
        <x:v>0.75</x:v>
      </x:c>
      <x:c r="V94" s="45" t="n">
        <x:v>15.43</x:v>
      </x:c>
      <x:c r="W94" s="45" t="n">
        <x:v>13.07</x:v>
      </x:c>
      <x:c r="X94" s="45" t="n">
        <x:v>0</x:v>
      </x:c>
      <x:c r="Y94" s="45" t="n">
        <x:v>0</x:v>
      </x:c>
      <x:c r="Z94" s="45" t="n">
        <x:v>0</x:v>
      </x:c>
      <x:c r="AA94" s="45" t="n">
        <x:v>0</x:v>
      </x:c>
      <x:c r="AB94" s="50" t="str">
        <x:f t="shared" si="10"/>
        <x:v>V3</x:v>
      </x:c>
      <x:c r="AC94" s="50" t="str">
        <x:f t="shared" si="11"/>
        <x:v>V2</x:v>
      </x:c>
      <x:c r="AD94" s="47" t="str">
        <x:v>Answer: passed / Consumer Decision: answered_partial / QA Grade: partial / Publication: review_required / Publication Reason: missing_expected_facets / Coverage: missing_expected_facets / RAG Coverage: insufficient / Answerable: False / Evidence: insufficient</x:v>
      </x:c>
    </x:row>
    <x:row r="95" ht="42" customHeight="1">
      <x:c r="A95" s="45" t="str">
        <x:v>EBX-Q-094</x:v>
      </x:c>
      <x:c r="B95" s="46" t="str">
        <x:v>Quản trị / Quản trị rủi ro (Risk Management) / Quản trị rủi ro liên quan đến các bên liên quan</x:v>
      </x:c>
      <x:c r="C95" s="46" t="str">
        <x:v>Giao tiếp với các bên liên quan / Quản trị rủi ro liên quan đến các bên liên quan</x:v>
      </x:c>
      <x:c r="D95" s="48" t="str">
        <x:v>Daewoong Pharmaceutical đang nhận diện và quản lý một cách hệ thống các rủi ro tiềm ẩn có thể phát sinh trong quá trình thiết lập mối quan hệ và giao tiếp với các bên liên quan dựa trên phương pháp đánh giá tính trọng yếu kép. Trước hết, công ty đưa ra danh sách các vấn đề ESG tiềm năng thông qua quá trình thu thập ý kiến từ các bên liên quan, cùng với việc phân tích xu hướng ngành, các quy định trong và ngoài nước và các đối thủ cạnh tranh chính; vào năm 2024, công ty đã thực hiện công việc nhận diện danh sách tiềm năng bắt đầu với 10 vấn đề trọng yếu. Trong quá trình này, công ty nâng cao hiệu quả quản trị rủi ro bằng cách xem xét đầy đủ khía cạnh tác động trong khái niệm rủi ro và cơ hội liên quan đến tính bền vững của ISSB, đồng thời xem xét tổng thể đặc thù của ngành dược phẩm và việc tuân thủ quy định. Đặc biệt, công ty có hệ thống quản lý rủi ro chi tiết bằng cách vận hành FGI (thảo luận nhóm tập trung) phù hợp với đặc điểm của từng bên liên quan. Thông qua FGI với các bên liên quan bên ngoài, công ty nắm bắt các vấn đề ESG mà các bên liên quan coi là quan trọng và các yêu cầu công bố thông tin cụ thể, từ đó phản ánh trực tiếp vào quá trình đánh giá để giảm thiểu rủi ro do thiếu giao tiếp.</x:v>
      </x:c>
      <x:c r="E95" s="51"/>
      <x:c r="F95" s="50" t="n">
        <x:f t="shared" si="8"/>
        <x:v>1</x:v>
      </x:c>
      <x:c r="G95" s="50" t="n">
        <x:f t="shared" si="9"/>
        <x:v>0</x:v>
      </x:c>
      <x:c r="H95" s="45" t="n">
        <x:v>471</x:v>
      </x:c>
      <x:c r="I95" s="45" t="n">
        <x:v>0</x:v>
      </x:c>
      <x:c r="J95" s="45" t="n">
        <x:v>5</x:v>
      </x:c>
      <x:c r="K95" s="45" t="n">
        <x:v>0</x:v>
      </x:c>
      <x:c r="L95" s="45" t="n">
        <x:v>93.4</x:v>
      </x:c>
      <x:c r="M95" s="45" t="n">
        <x:v>0</x:v>
      </x:c>
      <x:c r="N95" s="45" t="n">
        <x:v>0.226</x:v>
      </x:c>
      <x:c r="O95" s="45" t="n">
        <x:v>0</x:v>
      </x:c>
      <x:c r="P95" s="45" t="n">
        <x:v>0.9743</x:v>
      </x:c>
      <x:c r="Q95" s="45" t="n">
        <x:v>0</x:v>
      </x:c>
      <x:c r="R95" s="45" t="n">
        <x:v>0.271</x:v>
      </x:c>
      <x:c r="S95" s="45" t="n">
        <x:v>0</x:v>
      </x:c>
      <x:c r="T95" s="45" t="n">
        <x:v>1</x:v>
      </x:c>
      <x:c r="U95" s="45" t="n">
        <x:v>0</x:v>
      </x:c>
      <x:c r="V95" s="45" t="n">
        <x:v>2.12</x:v>
      </x:c>
      <x:c r="W95" s="45" t="n">
        <x:v>0</x:v>
      </x:c>
      <x:c r="X95" s="45" t="n">
        <x:v>6</x:v>
      </x:c>
      <x:c r="Y95" s="45" t="n">
        <x:v>0</x:v>
      </x:c>
      <x:c r="Z95" s="45" t="n">
        <x:v>0</x:v>
      </x:c>
      <x:c r="AA95" s="45" t="n">
        <x:v>0</x:v>
      </x:c>
      <x:c r="AB95" s="50" t="str">
        <x:f t="shared" si="10"/>
        <x:v>Không thể so sánh</x:v>
      </x:c>
      <x:c r="AC95" s="50" t="str">
        <x:f t="shared" si="11"/>
        <x:v>Không thể so sánh</x:v>
      </x:c>
      <x:c r="AD95" s="47" t="str">
        <x:v>Answer: failed / Consumer Decision: blocked_api_status / QA Grade: failed / Publication: blocked / Publication Reason: qa_not_passed / Coverage: writer_empty / RAG Coverage: insufficient / Answerable: False / Evidence: insufficient</x:v>
      </x:c>
    </x:row>
    <x:row r="96" ht="42" customHeight="1">
      <x:c r="A96" s="45" t="str">
        <x:v>EBX-Q-095</x:v>
      </x:c>
      <x:c r="B96" s="46" t="str">
        <x:v>Quản trị / Chỉ số (Metrics) / Hiện trạng hoạt động giao tiếp với các bên liên quan</x:v>
      </x:c>
      <x:c r="C96" s="46" t="str">
        <x:v>Giao tiếp với các bên liên quan / Hiện trạng hoạt động giao tiếp với các bên liên quan</x:v>
      </x:c>
      <x:c r="D96" s="48" t="str">
        <x:v>Daewoong Pharmaceutical vận hành các kênh giao tiếp đa dạng với các bên liên quan trong và ngoài doanh nghiệp để phản ánh các ý kiến thu thập được vào hoạt động quản trị. Thông qua FGI với các bên liên quan bên ngoài, công ty xác định các vấn đề ESG được coi là quan trọng và các yêu cầu công bố thông tin để phản ánh vào đánh giá. Từ đó, bắt đầu với 10 vấn đề trọng yếu vào năm 2024, công ty đang xác định nhóm các vấn đề ESG tiềm năng thông qua phân tích xu hướng ngành, quy định trong và ngoài nước, phân tích đối thủ cạnh tranh và thu thập ý kiến từ các bên liên quan. Trong lĩnh vực quản trị nhân quyền, công ty thu thập ý kiến của các bên liên quan nội bộ thông qua khảo sát nhân viên và đánh giá bên ngoài của GPTW, đồng thời định kỳ công khai các thành tựu và hoạt động quản trị nhân quyền thông qua nhiều kênh như Báo cáo Phát triển Bền vững, thông cáo báo chí chính thức, trang web và phòng tin tức. Đặc biệt, tính đến năm 2025, công ty đã hoàn tất xử lý toàn bộ 63 khiếu nại liên quan đến nhân quyền nhận được từ các bên liên quan nội bộ, thực hiện giao tiếp và ứng phó thực chất.</x:v>
      </x:c>
      <x:c r="E96" s="49" t="str">
        <x:v>Theo tài liệu đánh giá bên ngoài, Daewoong Pharmaceutical định kỳ công khai các thành tựu và hoạt động quản trị nhân quyền thông qua việc xuất bản Báo cáo Phát triển Bền vững, thông cáo báo chí chính thức, trang web và phòng tin tức. Ngoài ra, công ty thu thập ý kiến về thành tựu quản trị nhân quyền thông qua khảo sát nhân viên nội bộ và đánh giá bên ngoài của GPTW, đồng thời thực hiện FGI (Phỏng vấn nhóm tập trung) với các bên liên quan nội bộ và bên ngoài trong quá trình đánh giá trọng yếu kép để xác định tác động của các vấn đề ESG đối với tài chính và các yêu cầu công bố thông tin.</x:v>
      </x:c>
      <x:c r="F96" s="50" t="n">
        <x:f t="shared" si="8"/>
        <x:v>1</x:v>
      </x:c>
      <x:c r="G96" s="50" t="n">
        <x:f t="shared" si="9"/>
        <x:v>1</x:v>
      </x:c>
      <x:c r="H96" s="45" t="n">
        <x:v>434</x:v>
      </x:c>
      <x:c r="I96" s="45" t="n">
        <x:v>243</x:v>
      </x:c>
      <x:c r="J96" s="45" t="n">
        <x:v>4</x:v>
      </x:c>
      <x:c r="K96" s="45" t="n">
        <x:v>2</x:v>
      </x:c>
      <x:c r="L96" s="45" t="n">
        <x:v>107.8</x:v>
      </x:c>
      <x:c r="M96" s="45" t="n">
        <x:v>121</x:v>
      </x:c>
      <x:c r="N96" s="45" t="n">
        <x:v>0.347</x:v>
      </x:c>
      <x:c r="O96" s="45" t="n">
        <x:v>0.306</x:v>
      </x:c>
      <x:c r="P96" s="45" t="n">
        <x:v>0.9504</x:v>
      </x:c>
      <x:c r="Q96" s="45" t="n">
        <x:v>0.9145</x:v>
      </x:c>
      <x:c r="R96" s="45" t="n">
        <x:v>0.41</x:v>
      </x:c>
      <x:c r="S96" s="45" t="n">
        <x:v>0.515</x:v>
      </x:c>
      <x:c r="T96" s="45" t="n">
        <x:v>0.75</x:v>
      </x:c>
      <x:c r="U96" s="45" t="n">
        <x:v>0.5</x:v>
      </x:c>
      <x:c r="V96" s="45" t="n">
        <x:v>2.3</x:v>
      </x:c>
      <x:c r="W96" s="45" t="n">
        <x:v>0</x:v>
      </x:c>
      <x:c r="X96" s="45" t="n">
        <x:v>12</x:v>
      </x:c>
      <x:c r="Y96" s="45" t="n">
        <x:v>0</x:v>
      </x:c>
      <x:c r="Z96" s="45" t="n">
        <x:v>1</x:v>
      </x:c>
      <x:c r="AA96" s="45" t="n">
        <x:v>0</x:v>
      </x:c>
      <x:c r="AB96" s="50" t="str">
        <x:f t="shared" si="10"/>
        <x:v>V3</x:v>
      </x:c>
      <x:c r="AC96" s="50" t="str">
        <x:f t="shared" si="11"/>
        <x:v>V2</x:v>
      </x:c>
      <x:c r="AD96" s="47" t="str">
        <x:v>Answer: passed / Consumer Decision: answered_partial / QA Grade: cautious / Publication: review_required / Publication Reason: assessment_only / Coverage: assessment_only / RAG Coverage: complete / Answerable: True / Evidence: medium_confidence</x:v>
      </x:c>
    </x:row>
  </x:sheetData>
  <x:pageMargins left="0.7" right="0.7" top="0.75" bottom="0.75" header="0.3" footer="0.3"/>
</x:worksheet>
</file>

<file path=xl/worksheets/sheet6.xml><?xml version="1.0" encoding="utf-8"?>
<x:worksheet xmlns:x="http://schemas.openxmlformats.org/spreadsheetml/2006/main">
  <x:sheetFormatPr defaultColWidth="8.6328125" defaultRowHeight="14.5"/>
  <x:cols>
    <x:col min="1" max="2" width="22" customWidth="1"/>
    <x:col min="3" max="4" width="58" customWidth="1"/>
    <x:col min="5" max="5" width="50" customWidth="1"/>
  </x:cols>
  <x:sheetData>
    <x:row r="1" ht="18" customHeight="1">
      <x:c r="A1" s="24" t="str">
        <x:v>Ví dụ điển hình — Câu văn thực tế làm căn cứ cho điểm số</x:v>
      </x:c>
      <x:c r="B1" s="13"/>
      <x:c r="C1" s="13"/>
      <x:c r="D1" s="13"/>
      <x:c r="E1" s="13"/>
    </x:row>
    <x:row r="2" ht="15" customHeight="1">
      <x:c r="A2" s="13"/>
      <x:c r="B2" s="13"/>
      <x:c r="C2" s="13"/>
      <x:c r="D2" s="13"/>
      <x:c r="E2" s="13"/>
    </x:row>
    <x:row r="3" ht="33.75" customHeight="1">
      <x:c r="A3" s="27" t="str">
        <x:v>Loại trường hợp</x:v>
      </x:c>
      <x:c r="B3" s="27" t="str">
        <x:v>ID chỉ số / Mục</x:v>
      </x:c>
      <x:c r="C3" s="34" t="str">
        <x:v>Nội dung V2</x:v>
      </x:c>
      <x:c r="D3" s="34" t="str">
        <x:v>Nội dung V3</x:v>
      </x:c>
      <x:c r="E3" s="27" t="str">
        <x:v>Cách đọc</x:v>
      </x:c>
    </x:row>
    <x:row r="4" ht="150" customHeight="1">
      <x:c r="A4" s="53" t="str">
        <x:v>V3 ưu thế — Căn cứ đầy đủ + Súc tích</x:v>
      </x:c>
      <x:c r="B4" s="53" t="str">
        <x:v>EBX-Q-020
Chính sách và mục tiêu quản lý môi trường</x:v>
      </x:c>
      <x:c r="C4" s="54" t="str">
        <x:v>Daewoong Pharmaceutical theo đuổi mục tiêu không tai nạn thông qua quản lý thân thiện với môi trường như giảm phát thải carbon và chất gây ô nhiễm, đồng thời thực hiện quản lý môi trường tuân thủ nghiêm ngặt các quy định pháp luật và quy trình đã định dựa trên ý thức trách nhiệm triệt để và sự tham gia thực hiện nghĩa vụ tích cực của toàn thể cán bộ nhân viên. Để đạt được điều này, công ty đã thiết lập và vận hành một cách hệ thống các quy trình và quy trình quản lý dựa trên hệ thống quản lý môi trường ISO14001, từ đó tập trung vào việc ứng phó chủ động với các rủi ro biến đổi khí hậu và vấn đề môi trường tiềm ẩn có thể phát sinh trong quá trình sản xuất sản phẩm, đồng thời giảm thiểu tác động tiêu cực đến môi trường. Công ty đang xây dựng và vận hành hệ thống quản lý để thu thập và đánh giá thông tin liên quan đến môi trường một cách hệ thống, đồng thời nâng cao khả năng thực thi bằng cách thiết lập các mục tiêu có thể đo lường được để cải thiện môi trường và định kỳ kiểm tra tính phù hợp của các mục tiêu đó. Những nỗ lực cải thiện hiệu quả môi trường này không chỉ dừng lại ở phạm vi hoạt động của doanh nghiệp mà còn được mở rộng và thúc đẩy liên tục trong toàn bộ quá trình phát triển và cung cấp sản phẩm, dịch vụ. Ngoài ra, công ty định kỳ tổ chức đào tạo và huấn luyện về môi trường cho toàn thể cán bộ nhân viên nhằm nâng cao nhận thức về quản lý môi trường và tăng cường năng lực thực hiện thực tế. Thông qua đó, công ty củng cố hệ thống vận hành bền vững và bảo vệ môi trường trên toàn doanh nghiệp, đồng thời thiết lập văn hóa quản lý môi trường chủ động vượt ra ngoài việc tuân thủ quy định.</x:v>
      </x:c>
      <x:c r="D4" s="55" t="str">
        <x:v>Daewoong Pharmaceutical theo đuổi mục tiêu không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chủ động ứng phó với các vấn đề môi trường và biến đổi khí hậu có thể phát sinh trong quá trình sản xuất sản phẩm nhằm giảm thiểu tác động tiêu cực đến môi trường. Theo các tài liệu đánh giá bên ngoài, công ty cũng thiết lập và duy trì hệ thống quản lý môi trường, đặt ra các mục tiêu có thể đo lường được để cải thiện môi trường và kiểm tra định kỳ, đồng thời không ngừng nỗ lực cải thiện hiệu quả môi trường trong quá trình phát triển và cung cấp sản phẩm, dịch vụ.</x:v>
      </x:c>
      <x:c r="E4" s="53" t="str">
        <x:v>V2 kéo dài thành 6 câu và thêm vào những kết luận không có căn cứ như "đang thiết lập văn hóa quản lý môi trường chủ động". V3 kết thúc trong phạm vi căn cứ, tập trung vào ISO14001. Tuy nhiên, cụm từ "theo tài liệu đánh giá bên ngoài," (Theo các tài liệu đánh giá bên ngoài) trong V3 là câu không đúng ngữ pháp.</x:v>
      </x:c>
    </x:row>
    <x:row r="5" ht="150" customHeight="1">
      <x:c r="A5" s="53" t="str">
        <x:v>V3 ưu thế — Tiết chế từ ngữ sáo rỗng</x:v>
      </x:c>
      <x:c r="B5" s="53" t="str">
        <x:v>EBX-Q-001
Tầm nhìn ESG và Chiến lược trung và dài hạn</x:v>
      </x:c>
      <x:c r="C5" s="54" t="str">
        <x:v>Daewoong Pharmaceutical đã thiết lập tầm nhìn ESG là doanh nghiệp bảo vệ sức khỏe con người và trái đất, đồng thời thúc đẩy quản trị ESG cân bằng giữa tính bền vững về kinh tế, xã hội và môi trường. Đặc biệt, công ty đang thúc đẩy quản trị đạo đức tiến bộ để trở thành doanh nghiệp đáng tin cậy thông qua quản trị đạo đức được tăng cường hơn nữa, đồng thời liên tục củng cố việc nâng cao hệ thống ESG và thực hiện quản trị có trách nhiệm.</x:v>
      </x:c>
      <x:c r="D5" s="55" t="str">
        <x:v>Theo tài liệu đề xuất đang được xem xét,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công ty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c r="E5" s="53" t="str">
        <x:v>Chỉ V3 chứa thông tin đặc thù thực tế là 4 định hướng của chiến lược CARE (Cure/Advance/Respect/Earth). V2 nói chung chung là "đang liên tục củng cố" ở cùng vị trí đó. Ngược lại, V3 bắt đầu bằng "Theo tài liệu đề xuất đang được xem xét", gây ảnh hưởng không tốt đến ấn tượng đầu tiên.</x:v>
      </x:c>
    </x:row>
    <x:row r="6" ht="150" customHeight="1">
      <x:c r="A6" s="53" t="str">
        <x:v>V2 ưu thế — Độ phù hợp của hạng mục</x:v>
      </x:c>
      <x:c r="B6" s="53" t="str">
        <x:v>EBX-Q-063
Tình trạng đa dạng thành viên</x:v>
      </x:c>
      <x:c r="C6" s="54" t="str">
        <x:v>Daewoong Pharmaceutical đang xây dựng môi trường nơi cán bộ nhân viên có thể cùng nhau phát triển và tạo ra văn hóa tổ chức bao trùm bằng cách đảm bảo tính đa dạng trong cơ cấu nhân sự như giới tính và độ tuổi. Xem xét tình trạng cơ cấu nhân viên tính đến năm 2025, nhân lực nam là 1.136 người, nhân lực nữ bao gồm 617 nhân viên chính thức, 41 nhân viên hợp đồng và 133 nhân viên ngoài biên chế, duy trì sự đa dạng về giới tính. Về độ tuổi, có 450 nhân viên dưới 30 tuổi và 1.251 nhân viên từ 30 đến 50 tuổi, vận hành môi trường làm việc nơi các thế hệ khác nhau cùng hòa hợp. Đặc biệt, công ty đang thực hiện giá trị của sự đa dạng và bao trùm bằng cách mở rộng cơ hội việc làm thực tế cho những đối tượng yếu thế trong xã hội. Tính đến tháng 12 năm 2025, tại Bear Mart có 10 người khuyết tật phát triển và 2 chuyên gia công việc đang làm việc, đồng thời áp dụng hệ thống 3 ca 4 người một nhóm để cung cấp môi trường làm việc ổn định cho người lao động khuyết tật. Daewoong Pharmaceutical kế hoạch tiếp tục tăng cường chính sách tuyển dụng bao trùm này để mở rộng quy mô tuyển dụng người khuyết tật lên tổng cộng 11 người vào năm 2026, và sẽ tiếp tục mở rộng cơ hội việc làm cho người khuyết tật dựa trên sự đa dạng và bao trùm trong tương lai.</x:v>
      </x:c>
      <x:c r="D6" s="55" t="str">
        <x:v>Daewoong Pharmaceutical đang mở rộng việc làm cho các nhóm đối tượng dễ bị tổn thương trong tuyển dụng như người khuyết tật để tạo môi trường tuyển dụng bao trùm. Trong tài liệu đề xuất đang được xem xét, công ty cũng hỗ trợ phát huy năng lực lãnh đạo nữ bằng cách áp dụng hệ thống lương theo vị trí công việc lần đầu tiên trong ngành vào năm 2016, cung cấp cơ hội bình đẳng không phân biệt giới tính.</x:v>
      </x:c>
      <x:c r="E6" s="56" t="str">
        <x:v>★ Trường hợp điển hình nhất. Điều mục yêu cầu là "Tình trạng đa dạng", tức là cơ cấu nhân sự. V2 đưa ra chi tiết 1.136 nam, 617 nữ chính thức và số lượng theo độ tuổi. V3 bỏ qua toàn bộ những điều này và chỉ đề cập đến hệ thống lương theo vị trí năm 2016 — nội dung mà điều mục không hỏi.</x:v>
      </x:c>
    </x:row>
    <x:row r="7" ht="150" customHeight="1">
      <x:c r="A7" s="53" t="str">
        <x:v>V2 ưu thế — Tính cụ thể</x:v>
      </x:c>
      <x:c r="B7" s="53" t="str">
        <x:v>EBX-Q-044
Chính sách quản lý chất ô nhiễm và phát thải</x:v>
      </x:c>
      <x:c r="C7" s="54" t="str">
        <x:v>Daewoong Pharmaceutical đã thực hiện đánh giá tác động tự nhiên thông qua phân tích ENCORE và xác nhận rằng ngành dược phẩm/sinh học có thể gây tác động ở mức trung bình về phát thải chất ô nhiễm không khí, phát thải khí nhà kính, phát sinh và phát thải chất thải rắn, phát thải chất ô nhiễm độc hại và muối dinh dưỡng vào hệ thống nước và đất, các yếu tố gây nhiễu như tiếng ồn và ánh sáng, cũng như lượng sử dụng nước. Dựa trên kết quả phân tích này, công ty nhận diện việc sử dụng nước, nước thải, chất thải, hóa chất và chất ô nhiễm không khí phát sinh trong quá trình sản xuất và nghiên cứu phát triển là các yếu tố tác động tự nhiên chính và đang thúc đẩy chính sách quản lý một cách hệ thống. Đối với quản lý chất ô nhiễm không khí, tất cả các hạng mục phát thải đều được quản lý ổn định trong giới hạn cho phép của pháp luật. Đặc biệt, đối với oxit nitơ (NOx) có xu hướng tăng trong tổng lượng phát thải, công ty đã thiết lập kế hoạch cải thiện riêng vào năm 2023 và đang thúc đẩy các nhiệm vụ thực thi để giảm phát thải. Các chất ô nhiễm nước cũng được quản lý tuân thủ nghiêm ngặt các tiêu chuẩn cho phép của pháp luật, cho thấy xu hướng cải thiện tổng lượng phát thải từ năm 2021 và đạt được thành quả duy trì ổn định mức phát thải so với doanh thu vào năm 2023. Trong tương lai, Daewoong Pharmaceutical dự kiến sẽ phân tích chính xác dữ liệu môi trường phát sinh tại mỗi cơ sở kinh doanh để nắm bắt cụ thể nguyên nhân và quy mô gây tác động tự nhiên. Thông qua đó, công ty kế hoạch hiện thực hóa quản trị trách nhiệm môi trường bằng cách tăng cường hơn nữa các hoạt động giảm thiểu nhằm tối thiểu hóa tác động tiêu cực đến vốn tự nhiên như tối ưu hóa tài nguyên nước, quản lý nước thải và chất ô nhiễm, giảm thiểu chất thải.</x:v>
      </x:c>
      <x:c r="D7" s="55" t="str">
        <x:v>Daewoong Pharmaceutical quản lý các chất ô nhiễm không khí và nước trong giới hạn cho phép của pháp luật. Đối với chất ô nhiễm không khí, do sự gia tăng của oxit nitơ (NOx), công ty dự kiến thiết lập và thực hiện kế hoạch cải thiện vào năm 2023, và lượng phát thải chất ô nhiễm nước đã được cải thiện từ năm 2021, duy trì mức phát thải so với doanh thu vào năm 2023. Trong tài liệu đề xuất đang được xem xét, công ty cũng nhận diện nước thải, hóa chất và chất ô nhiễm không khí phát sinh trong quá trình sản xuất và nghiên cứu phát triển là các yếu tố tác động tự nhiên chính, và kế hoạch tăng cường các hoạt động giảm thiểu tác động vốn tự nhiên như quản lý chất ô nhiễm dựa trên dữ liệu môi trường theo từng cơ sở kinh doanh trong tương lai.</x:v>
      </x:c>
      <x:c r="E7" s="53" t="str">
        <x:v>V2 triển khai từ phân tích ENCORE, năm lập kế hoạch cải thiện oxit nitơ cho đến xu hướng xả thải nước. V3 chỉ giữ lại những nội dung cốt lõi nhưng các danh từ riêng như ENCORE bị lược bỏ. Tuy nhiên, phần sau của V2 có tỷ lệ mô tả nằm ngoài Evidence cao.</x:v>
      </x:c>
    </x:row>
    <x:row r="8" ht="150" customHeight="1">
      <x:c r="A8" s="53" t="str">
        <x:v>Chỉ viết bằng V2</x:v>
      </x:c>
      <x:c r="B8" s="53" t="str">
        <x:v>EBX-Q-011
Tình hình khiếu nại và xử lý liên quan đến nhân quyền</x:v>
      </x:c>
      <x:c r="C8" s="54" t="str">
        <x:v>Daewoong Pharmaceutical đang vận hành hệ thống bảo vệ nhân quyền và giải quyết khiếu nại của các bên liên quan nội bộ thông qua việc thúc đẩy giao tiếp hợp tác giữa lao động và quản lý. Tính đến năm 2025, tổng số vụ khiếu nại liên quan đến nhân quyền nhận được từ các bên liên quan nội bộ là 63 vụ, và tất cả các vụ việc nhận được đều đã được xử lý hoàn tất, đạt được kết quả quản lý hiệu quả trong việc bảo vệ nhân quyền và giải quyết khiếu nại.</x:v>
      </x:c>
      <x:c r="D8" s="57" t="str">
        <x:v>(Để trống)</x:v>
      </x:c>
      <x:c r="E8" s="53" t="str">
        <x:v>V2 viết các con số có thể kiểm chứng như "Năm 2025 tiếp nhận 63 vụ khiếu nại nhân quyền và hoàn tất xử lý tất cả". V3 bị chặn do QA Grade failed (RAG Coverage là complete, Evidence là high_confidence) — đây là trường hợp tiêu chuẩn thông qua được thiết lập quá thận trọng.</x:v>
      </x:c>
    </x:row>
    <x:row r="9" ht="150" customHeight="1">
      <x:c r="A9" s="53" t="str">
        <x:v>V3 ưu thế — hạn chế tạo nội dung dư thừa</x:v>
      </x:c>
      <x:c r="B9" s="53" t="str">
        <x:v>EBX-Q-060
Chính sách và mục tiêu về đa dạng và bao trùm</x:v>
      </x:c>
      <x:c r="C9" s="54" t="str">
        <x:v>Daewoong Pharmaceutical đang tập trung tạo dựng môi trường tuyển dụng bao trùm nhằm mở rộng việc làm ổn định cho các nhóm đối tượng dễ bị tổn thương trong tuyển dụng như người khuyết tật và nâng cao tính đa dạng trong tổ chức. Để đạt được điều này, công ty đang mở rộng cơ hội tuyển dụng thực tế bằng cách ghi rõ các ưu tiên dành cho người khuyết tật trong thông báo tuyển dụng theo từng vị trí công việc, đồng thời xây dựng mô hình việc làm bền vững thông qua việc vận hành 'Bear Mart' - cửa hàng tiện lợi nội bộ hợp tác với doanh nghiệp chuyên tuyển dụng người khuyết tật phát triển. Tính đến tháng 12 năm 2025, Bear Mart có 10 người khuyết tật phát triển và 2 chuyên gia công việc đang làm việc, cung cấp môi trường làm việc ổn định thông qua hệ thống 3 ca, mỗi ca 4 người. Dựa trên chính sách tuyển dụng bao trùm này, Daewoong Pharmaceutical kế hoạch mở rộng quy mô tuyển dụng người khuyết tật lên tổng cộng 11 người vào năm 2026 và sẽ tiếp tục mở rộng cơ hội việc làm dựa trên tính đa dạng và bao trùm trong tương lai. Bên cạnh đó, dựa trên giá trị 'tự chủ' và 'tăng trưởng', công ty đã thiết lập và lan tỏa tích cực trong tổ chức các chế độ giúp cân bằng hài hòa giữa công việc và gia đình. Kết quả là vào năm 2025, công ty đã được chứng nhận và lựa chọn là 'Doanh nghiệp dẫn đầu về thân thiện với gia đình' do Bộ Phụ nữ và Gia đình chủ trì, đạt được thành tựu trong việc tạo dựng văn hóa tổ chức bao trùm giới tính và chu kỳ sống. Daewoong Pharmaceutical dự định sẽ tiếp tục tăng cường văn hóa doanh nghiệp bao trùm, nơi mọi thành viên đều được tôn trọng thông qua môi trường tuyển dụng không phân biệt đối xử và các chế độ thân thiện với gia đình.</x:v>
      </x:c>
      <x:c r="D9" s="55" t="str">
        <x:v>Daewoong Pharmaceutical đang thúc đẩy tạo dựng môi trường tuyển dụng bao trùm nhằm mở rộng việc làm ổn định cho các nhóm đối tượng dễ bị tổn thương trong tuyển dụng như người khuyết tật và nâng cao tính đa dạng trong tổ chức. Công ty đang mở rộng cơ hội bằng cách ghi rõ các ưu tiên dành cho người khuyết tật trong thông báo tuyển dụng theo từng vị trí, và xây dựng mô hình việc làm bền vững thông qua cửa hàng tiện lợi nội bộ 'Bear Mart' hợp tác với doanh nghiệp chuyên tuyển dụng người khuyết tật phát triển. Tính đến tháng 12 năm 2025, có 10 người khuyết tật phát triển đang làm việc tại Bear Mart, và công ty kế hoạch mở rộng quy mô tuyển dụng người khuyết tật lên tổng cộng 11 người vào năm 2026. Theo tài liệu đề xuất đang được xem xét, công ty cũng hỗ trợ nuôi dưỡng nhân tài nữ và phát huy năng lực lãnh đạo bằng cách áp dụng hệ thống lương theo vị trí công việc, cung cấp cơ hội bình đẳng không phân biệt giới tính, lần đầu tiên trong ngành vào năm 2016.</x:v>
      </x:c>
      <x:c r="E9" s="53" t="str">
        <x:v>Nội dung "Chứng nhận Doanh nghiệp dẫn đầu về thân thiện với gia đình của Bộ Phụ nữ và Gia đình năm 2025" trong đoạn cuối của V2 là mô tả không được xác nhận trong Evidence. V3 dừng lại ở mục tiêu Bear Mart và 11 người. Nếu là sự thật thì V2 tốt hơn, nhưng trước khi xác nhận sự thật, V2 là rủi ro kiểm toán.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328125" defaultRowHeight="14.5"/>
  <x:cols>
    <x:col min="1" max="1" width="30" customWidth="1"/>
    <x:col min="2" max="2" width="20" customWidth="1"/>
    <x:col min="3" max="3" width="44" customWidth="1"/>
    <x:col min="4" max="4" width="40" customWidth="1"/>
    <x:col min="5" max="5" width="44" customWidth="1"/>
    <x:col min="6" max="6" width="14" customWidth="1"/>
  </x:cols>
  <x:sheetData>
    <x:row r="1" ht="25.5">
      <x:c r="A1" s="12" t="str">
        <x:v>Appendix — Nguồn gốc và cách vận dụng tiêu chí đánh giá</x:v>
      </x:c>
      <x:c r="B1"/>
      <x:c r="C1"/>
      <x:c r="D1"/>
      <x:c r="E1"/>
      <x:c r="F1"/>
    </x:row>
    <x:row r="2" ht="16">
      <x:c r="A2" s="6" t="str">
        <x:v>Chúng tôi đã phân loại và sắp xếp 10 hạng mục trong sheet 01_Tiêu chí đánh giá để làm rõ mỗi hạng mục đến từ tài liệu nào, và đâu là phần trích dẫn tài liệu, đâu là phần tự thiết kế của phân tích này.</x:v>
      </x:c>
      <x:c r="B2" s="6"/>
      <x:c r="C2" s="6"/>
      <x:c r="D2" s="6"/>
      <x:c r="E2" s="6"/>
      <x:c r="F2" s="6"/>
    </x:row>
    <x:row r="3">
      <x:c r="A3"/>
      <x:c r="B3"/>
      <x:c r="C3"/>
      <x:c r="D3"/>
      <x:c r="E3"/>
      <x:c r="F3"/>
    </x:row>
    <x:row r="4" ht="21.75" customHeight="1">
      <x:c r="A4" s="58" t="str">
        <x:v>1. Trục chất lượng nội dung — GRI 1: Foundation 2021</x:v>
      </x:c>
      <x:c r="B4" s="59"/>
      <x:c r="C4" s="59"/>
      <x:c r="D4" s="59"/>
      <x:c r="E4" s="59"/>
      <x:c r="F4" s="59"/>
    </x:row>
    <x:row r="5" ht="31.5" customHeight="1">
      <x:c r="A5" s="5" t="str">
        <x:v>Đây thực tế là tiêu chuẩn về chất lượng cho thể loại Báo cáo Phát triển Bền vững. Tài liệu quy định 8 nguyên tắc: tính chính xác, tính cân bằng, tính rõ ràng, tính có thể so sánh, tính đầy đủ, bối cảnh bền vững, tính kịp thời và tính có thể kiểm chứng, đồng thời nêu rõ rằng để khẳng định báo cáo được lập theo tiêu chuẩn GRI thì phải áp dụng các nguyên tắc này.</x:v>
      </x:c>
      <x:c r="B5" s="5"/>
      <x:c r="C5" s="5"/>
      <x:c r="D5" s="5"/>
      <x:c r="E5" s="5"/>
      <x:c r="F5" s="5"/>
    </x:row>
    <x:row r="6" ht="27.75" customHeight="1">
      <x:c r="A6" s="60" t="str">
        <x:v>Tài liệu</x:v>
      </x:c>
      <x:c r="B6" s="60" t="str">
        <x:v>Đơn vị phát hành / Năm</x:v>
      </x:c>
      <x:c r="C6" s="60" t="str">
        <x:v>Liên kết</x:v>
      </x:c>
      <x:c r="D6" s="60" t="str">
        <x:v>Các mục rút ra từ phân tích này</x:v>
      </x:c>
      <x:c r="E6" s="60" t="str">
        <x:v>Phạm vi xác nhận</x:v>
      </x:c>
      <x:c r="F6"/>
    </x:row>
    <x:row r="7" ht="72" customHeight="1">
      <x:c r="A7" s="61" t="str">
        <x:v>GRI 1: Foundation 2021 (Nguyên văn)</x:v>
      </x:c>
      <x:c r="B7" s="53" t="str">
        <x:v>Global Sustainability Standards Board / 2021</x:v>
      </x:c>
      <x:c r="C7" s="53" t="str">
        <x:v>https://www.globalreporting.org/publications/documents/english/gri-1-foundation-2021/</x:v>
      </x:c>
      <x:c r="D7" s="53" t="str">
        <x:v>C1 Tính đầy đủ, C2 Tính phù hợp của mục, C3 Tính trung thực của căn cứ và khả năng kiểm chứng, C4 Tính cân bằng, C5 Tính cụ thể, C6 Tính rõ ràng</x:v>
      </x:c>
      <x:c r="E7" s="62" t="str">
        <x:v>Danh sách các nguyên tắc và yêu cầu áp dụng — Xác nhận là sự thật khách quan</x:v>
      </x:c>
      <x:c r="F7"/>
    </x:row>
    <x:row r="8" ht="72" customHeight="1">
      <x:c r="A8" s="61" t="str">
        <x:v>Chi tiết nguyên tắc báo cáo GSSB (GRI 101 Phần 4 sửa đổi, PDF)</x:v>
      </x:c>
      <x:c r="B8" s="53" t="str">
        <x:v>Global Reporting Initiative</x:v>
      </x:c>
      <x:c r="C8" s="53" t="str">
        <x:v>https://www.globalreporting.org/media/uaqpeetc/item-06-gri-universal-standards-project-revised-gri-101-section-4-reporting-principles.pdf</x:v>
      </x:c>
      <x:c r="D8" s="53" t="str">
        <x:v>Căn cứ tách C3 khỏi tính đầy đủ. Theo quy định "tính đầy đủ phụ thuộc vào mức độ chi tiết và sự nhất quán với các bằng chứng hiện có", tính trung thực của căn cứ được lập thành một mục độc lập</x:v>
      </x:c>
      <x:c r="E8" s="62" t="str">
        <x:v>Chỉ kiểm tra đoạn tương ứng — không đọc toàn văn</x:v>
      </x:c>
      <x:c r="F8"/>
    </x:row>
    <x:row r="9">
      <x:c r="A9"/>
      <x:c r="B9"/>
      <x:c r="C9"/>
      <x:c r="D9"/>
      <x:c r="E9"/>
      <x:c r="F9"/>
    </x:row>
    <x:row r="10" ht="21.75" customHeight="1">
      <x:c r="A10" s="58" t="str">
        <x:v>2. Trục độ tương đồng với văn phong con người — Tài liệu phát hiện văn bản do AI tạo</x:v>
      </x:c>
      <x:c r="B10" s="59"/>
      <x:c r="C10" s="59"/>
      <x:c r="D10" s="59"/>
      <x:c r="E10" s="59"/>
      <x:c r="F10" s="59"/>
    </x:row>
    <x:row r="11" ht="31.5" customHeight="1">
      <x:c r="A11" s="4" t="str">
        <x:v>Từ quan sát chung rằng "văn bản AI có cấu trúc câu đồng nhất và tỷ lệ lặp từ vựng cao hơn so với con người", các chỉ số C8, C9, C10 đã được rút ra. Tuy nhiên, các tài liệu phản biện chỉ ra hạn chế của những chỉ số này cũng được chủ ý đưa vào.</x:v>
      </x:c>
      <x:c r="B11" s="4"/>
      <x:c r="C11" s="4"/>
      <x:c r="D11" s="4"/>
      <x:c r="E11" s="4"/>
      <x:c r="F11" s="4"/>
    </x:row>
    <x:row r="12" ht="27.75" customHeight="1">
      <x:c r="A12" s="60" t="str">
        <x:v>Tài liệu</x:v>
      </x:c>
      <x:c r="B12" s="60" t="str">
        <x:v>Nơi phát hành / Năm</x:v>
      </x:c>
      <x:c r="C12" s="60" t="str">
        <x:v>Liên kết</x:v>
      </x:c>
      <x:c r="D12" s="60" t="str">
        <x:v>Các mục rút ra từ phân tích này</x:v>
      </x:c>
      <x:c r="E12" s="60" t="str">
        <x:v>Phạm vi xác nhận</x:v>
      </x:c>
      <x:c r="F12"/>
    </x:row>
    <x:row r="13" ht="75.75" customHeight="1">
      <x:c r="A13" s="61" t="str">
        <x:v>A Comparative Analysis of AI-Generated and Human-Written Text (Kujur)</x:v>
      </x:c>
      <x:c r="B13" s="53" t="str">
        <x:v>SSRN / 2025</x:v>
      </x:c>
      <x:c r="C13" s="53" t="str">
        <x:v>https://papers.ssrn.com/sol3/Delivery.cfm/5833302.pdf?abstractid=5833302</x:v>
      </x:c>
      <x:c r="D13" s="53" t="str">
        <x:v>C8 Burstiness, C9 Tránh dùng từ sáo rỗng, C10 Đa dạng từ vựng</x:v>
      </x:c>
      <x:c r="E13" s="62" t="str">
        <x:v>Mức độ tóm tắt — Độ perplexity thấp, cấu trúc đồng nhất và tỷ lệ lặp từ vựng cao của câu do AI tạo. Tuy nhiên, cũng đưa ra manh mối rằng sự khác biệt này sẽ giảm dần theo sự phát triển của mô hình</x:v>
      </x:c>
      <x:c r="F13"/>
    </x:row>
    <x:row r="14" ht="60" customHeight="1">
      <x:c r="A14" s="61" t="str">
        <x:v>AI-Generated Text Detection: A Comprehensive Review</x:v>
      </x:c>
      <x:c r="B14" s="53" t="str">
        <x:v>ScienceDirect / 2026</x:v>
      </x:c>
      <x:c r="C14" s="53" t="str">
        <x:v>https://www.sciencedirect.com/org/science/article/pii/S1546221826000482</x:v>
      </x:c>
      <x:c r="D14" s="62" t="str">
        <x:v>Tham chiếu hệ thống phân loại tín hiệu phát hiện (phân phối từ vựng, tính bùng nổ (burstiness), quy tắc cú pháp, tính nhất quán của diễn ngôn) làm khung cấu trúc mục</x:v>
      </x:c>
      <x:c r="E14" s="62" t="str">
        <x:v>Cấp độ tóm tắt</x:v>
      </x:c>
      <x:c r="F14"/>
    </x:row>
    <x:row r="15" ht="84" customHeight="1">
      <x:c r="A15" s="61" t="str">
        <x:v>★ Tại sao Perplexity và Burstiness thất bại trong việc phát hiện AI</x:v>
      </x:c>
      <x:c r="B15" s="53" t="str">
        <x:v>Pangram / 2025</x:v>
      </x:c>
      <x:c r="C15" s="53" t="str">
        <x:v>https://www.pangram.com/blog/why-perplexity-and-burstiness-fail-to-detect-ai</x:v>
      </x:c>
      <x:c r="D15" s="62" t="str">
        <x:v>Tài liệu phản biện. Căn cứ tái kiểm chứng bằng cách đặt trọng số Burstiness thấp từ 5-10 điểm và kiểm soát độ dài từ 3 câu trở lên</x:v>
      </x:c>
      <x:c r="E15" s="62" t="str">
        <x:v>Xác nhận luận điểm chính — Bài viết của người không bản ngữ bị AI đánh giá sai do có Burstiness thấp, và có trường hợp một số phần của Kinh thánh và Hiến pháp Hoa Kỳ cũng bị phân loại là AI</x:v>
      </x:c>
      <x:c r="F15"/>
    </x:row>
    <x:row r="16">
      <x:c r="A16"/>
      <x:c r="B16"/>
      <x:c r="C16"/>
      <x:c r="D16"/>
      <x:c r="E16"/>
      <x:c r="F16"/>
    </x:row>
    <x:row r="17" ht="19.5" customHeight="1">
      <x:c r="A17" s="3" t="str">
        <x:v>★ Tài liệu phản biện này thực sự đã thay đổi kết luận</x:v>
      </x:c>
      <x:c r="B17" s="3"/>
      <x:c r="C17" s="3"/>
      <x:c r="D17" s="3"/>
      <x:c r="E17" s="3"/>
      <x:c r="F17"/>
    </x:row>
    <x:row r="18" ht="51.75" customHeight="1">
      <x:c r="A18" s="2" t="str">
        <x:v>Nếu chỉ nhìn vào độ burstiness trung bình tổng thể, V2 là 0.230 và V3 là 0.185, dẫn đến kết luận "V2 giống con người hơn nhiều". Tuy nhiên, theo chỉ ra của Pangram (văn bản càng ngắn và đơn giản thì độ burstiness về mặt cấu trúc càng thấp), khi tính toán lại chỉ với 28 trường hợp có từ 3 câu trở lên, kết quả là 0.242 so với 0.249, khiến V3 ngược lại chiếm ưu thế nhẹ. Đây là điểm có thể dẫn đến phán đoán sai nếu không tham khảo phản biện này. Bạn có thể so sánh song song hai hàng trong sheet 03_Chi_so_thuc_do.</x:v>
      </x:c>
      <x:c r="B18" s="2"/>
      <x:c r="C18" s="2"/>
      <x:c r="D18" s="2"/>
      <x:c r="E18" s="2"/>
      <x:c r="F18"/>
    </x:row>
    <x:row r="19">
      <x:c r="A19"/>
      <x:c r="B19"/>
      <x:c r="C19"/>
      <x:c r="D19"/>
      <x:c r="E19"/>
      <x:c r="F19"/>
    </x:row>
    <x:row r="20" ht="21.75" customHeight="1">
      <x:c r="A20" s="58" t="str">
        <x:v>3. Thiết kế trục đánh giá — Tài liệu đánh giá con người về NLG</x:v>
      </x:c>
      <x:c r="B20" s="59"/>
      <x:c r="C20" s="59"/>
      <x:c r="D20" s="59"/>
      <x:c r="E20" s="59"/>
      <x:c r="F20" s="59"/>
    </x:row>
    <x:row r="21" ht="31.5" customHeight="1">
      <x:c r="A21" s="4" t="str">
        <x:v>Cơ sở của việc không đặt "sự tự nhiên" làm thước đo duy nhất mà chia nhỏ thành độ lưu loát, độ trung thực và tính cung cấp thông tin.</x:v>
      </x:c>
      <x:c r="B21" s="4"/>
      <x:c r="C21" s="4"/>
      <x:c r="D21" s="4"/>
      <x:c r="E21" s="4"/>
      <x:c r="F21" s="4"/>
    </x:row>
    <x:row r="22" ht="27.75" customHeight="1">
      <x:c r="A22" s="60" t="str">
        <x:v>Tài liệu</x:v>
      </x:c>
      <x:c r="B22" s="60" t="str">
        <x:v>Đơn vị phát hành / Năm</x:v>
      </x:c>
      <x:c r="C22" s="60" t="str">
        <x:v>Liên kết</x:v>
      </x:c>
      <x:c r="D22" s="60" t="str">
        <x:v>Các hạng mục rút ra từ phân tích này</x:v>
      </x:c>
      <x:c r="E22" s="60" t="str">
        <x:v>Phạm vi đã xác nhận</x:v>
      </x:c>
      <x:c r="F22"/>
    </x:row>
    <x:row r="23" ht="91.5" customHeight="1">
      <x:c r="A23" s="61" t="str">
        <x:v>Hai mươi năm hỗn loạn trong đánh giá con người: NLG cần các bảng đánh giá và định nghĩa tiêu chuẩn (Howcroft et al.)</x:v>
      </x:c>
      <x:c r="B23" s="53" t="str">
        <x:v>INLG 2020 / ACL Anthology</x:v>
      </x:c>
      <x:c r="C23" s="53" t="str">
        <x:v>https://aclanthology.org/2020.inlg-1.23/  ·  PDF: https://pure.hw.ac.uk/ws/portalfiles/portal/54138831/2020.inlg_1.23.pdf</x:v>
      </x:c>
      <x:c r="D23" s="53" t="str">
        <x:v>C7 Độ trôi chảy (Fluency), C3 Độ trung thực (Faithfulness), C5 Độ cung cấp thông tin (Informativeness)</x:v>
      </x:c>
      <x:c r="E23" s="62" t="str">
        <x:v>Cấp độ tóm tắt và trích yếu — Kết quả phân tích 165 bài báo về NLG cho thấy có hơn 200 thuật ngữ dùng để chỉ khía cạnh chất lượng đang tồn tại chồng chéo, dẫn đến kết luận rằng đây là một nhiệm vụ đa diện cần đánh giá đồng thời độ trôi chảy, tính nhất quán, độ bao phủ và tính phù hợp</x:v>
      </x:c>
      <x:c r="F23"/>
    </x:row>
    <x:row r="24">
      <x:c r="A24"/>
      <x:c r="B24"/>
      <x:c r="C24"/>
      <x:c r="D24"/>
      <x:c r="E24"/>
      <x:c r="F24"/>
    </x:row>
    <x:row r="25" ht="21.75" customHeight="1">
      <x:c r="A25" s="58" t="str">
        <x:v>4. ⚠ Các hạn chế bắt buộc phải đọc kèm</x:v>
      </x:c>
      <x:c r="B25" s="59"/>
      <x:c r="C25" s="59"/>
      <x:c r="D25" s="59"/>
      <x:c r="E25" s="59"/>
      <x:c r="F25" s="59"/>
    </x:row>
    <x:row r="26" ht="31.5" customHeight="1">
      <x:c r="A26" s="5" t="str">
        <x:v>Khi trích dẫn hoặc chia sẻ phân tích này ra bên ngoài, vui lòng gửi kèm bốn nội dung dưới đây.</x:v>
      </x:c>
      <x:c r="B26" s="5"/>
      <x:c r="C26" s="5"/>
      <x:c r="D26" s="5"/>
      <x:c r="E26" s="5"/>
      <x:c r="F26" s="5"/>
    </x:row>
    <x:row r="27" ht="27.75" customHeight="1">
      <x:c r="A27" s="60" t="str">
        <x:v>Phân loại</x:v>
      </x:c>
      <x:c r="B27" s="60" t="str">
        <x:v>Nội dung</x:v>
      </x:c>
      <x:c r="C27" s="60" t="str">
        <x:v>Ý nghĩa thực tiễn</x:v>
      </x:c>
      <x:c r="D27"/>
      <x:c r="E27"/>
      <x:c r="F27"/>
    </x:row>
    <x:row r="28" ht="75.75" customHeight="1">
      <x:c r="A28" s="63" t="str">
        <x:v>Phạm vi xác nhận tài liệu</x:v>
      </x:c>
      <x:c r="B28" s="64" t="str">
        <x:v>Các tài liệu trên được xác nhận ở mức độ đoạn trích kết quả tìm kiếm và tóm tắt, không đọc toàn văn bài luận. Những sự thật xác định như danh sách nguyên tắc GRI có thể tin cậy, nhưng khó có thể coi các phương pháp chi tiết dựa trên những tài liệu này.</x:v>
      </x:c>
      <x:c r="C28" s="62" t="str">
        <x:v>Khuyến nghị kiểm tra lại văn bản gốc khi trích dẫn trong báo cáo bên ngoài.</x:v>
      </x:c>
      <x:c r="D28"/>
      <x:c r="E28"/>
      <x:c r="F28"/>
    </x:row>
    <x:row r="29" ht="75.75" customHeight="1">
      <x:c r="A29" s="63" t="str">
        <x:v>Phương pháp đo lường do tự thiết kế</x:v>
      </x:c>
      <x:c r="B29" s="62" t="str">
        <x:v>Tài liệu chỉ cung cấp đến mức "cần xem xét điều gì". Các định nghĩa vận hành như "Độ trung thực của căn cứ = Tỷ lệ trùng lặp 4-gram ký tự", "Độ phù hợp của hạng mục = Tỷ lệ xuất hiện từ khóa Field" được thiết kế trong phân tích này để phù hợp với cấu trúc của hai tệp Excel này, không phải là các chỉ số tiêu chuẩn lấy từ tài liệu.</x:v>
      </x:c>
      <x:c r="C29" s="62" t="str">
        <x:v>Bản thân định nghĩa chỉ số là đối tượng cần được xem xét và chỉnh sửa.</x:v>
      </x:c>
      <x:c r="D29"/>
      <x:c r="E29"/>
      <x:c r="F29"/>
    </x:row>
    <x:row r="30" ht="75.75" customHeight="1">
      <x:c r="A30" s="63" t="str">
        <x:v>Thiếu kiểm chứng tiếng Hàn</x:v>
      </x:c>
      <x:c r="B30" s="62" t="str">
        <x:v>Hầu hết các nghiên cứu liên quan đến Burstiness và MATTR đều dựa trên tiếng Anh. Việc các chỉ số tiếng Hàn được tính theo đơn vị cụm từ (eojeol) có khả năng giải thích tương đương hay không vẫn chưa được kiểm chứng.</x:v>
      </x:c>
      <x:c r="C30" s="53" t="str">
        <x:v>Vì V2 và V3 được đo lường theo cùng một phương pháp nên việc so sánh tương đối là có giá trị. Tuy nhiên, vui lòng không sử dụng các giá trị tuyệt đối (ví dụ: MATTR 0.94) để so sánh với các tài liệu hoặc ngôn ngữ khác.</x:v>
      </x:c>
      <x:c r="D30"/>
      <x:c r="E30"/>
      <x:c r="F30"/>
    </x:row>
    <x:row r="31" ht="63.75" customHeight="1">
      <x:c r="A31" s="63" t="str">
        <x:v>Trọng số là giá trị phán đoán</x:v>
      </x:c>
      <x:c r="B31" s="53" t="str">
        <x:v>Trọng số A·B (ô màu vàng) trong sheet 01_Tieu_chi_danh_gia không phải là giá trị rút ra từ dữ liệu, mà là giá trị phán đoán được phân bổ tùy ý để đại diện cho hai quan điểm.</x:v>
      </x:c>
      <x:c r="C31" s="62" t="str">
        <x:v>Vui lòng chỉnh sửa cho phù hợp với ưu tiên của tổ chức. Khi thay đổi giá trị, tổng điểm trong 02_So_sanh_tong_hop và 00_Tom_tat_ket_luan sẽ tự động được tính toán lại.</x:v>
      </x:c>
      <x:c r="D31"/>
      <x:c r="E31"/>
      <x:c r="F31"/>
    </x:row>
    <x:row r="32">
      <x:c r="A32"/>
      <x:c r="B32"/>
      <x:c r="C32"/>
      <x:c r="D32"/>
      <x:c r="E32"/>
      <x:c r="F32"/>
    </x:row>
    <x:row r="33" ht="21.75" customHeight="1">
      <x:c r="A33" s="58" t="str">
        <x:v>5. Cách sử dụng lại tệp này</x:v>
      </x:c>
      <x:c r="B33" s="59"/>
      <x:c r="C33" s="59"/>
      <x:c r="D33" s="59"/>
      <x:c r="E33" s="59"/>
      <x:c r="F33" s="59"/>
    </x:row>
    <x:row r="34" ht="27.75" customHeight="1">
      <x:c r="A34" s="60" t="str">
        <x:v>Mục tiêu</x:v>
      </x:c>
      <x:c r="B34" s="60" t="str">
        <x:v>Phương pháp</x:v>
      </x:c>
      <x:c r="C34" s="60"/>
      <x:c r="D34" s="60"/>
      <x:c r="E34" s="60"/>
      <x:c r="F34"/>
    </x:row>
    <x:row r="35" ht="67.5" customHeight="1">
      <x:c r="A35" s="63" t="str">
        <x:v>Tôi muốn thay đổi trọng số theo tiêu chuẩn của chúng tôi</x:v>
      </x:c>
      <x:c r="B35" s="1" t="str">
        <x:v>Vui lòng chỉnh sửa ô E10:F19 (chữ màu xanh, nền vàng) trong sheet 01_Tieu_chi_danh_gia. Khi tổng mỗi cột bằng 100, tổng trọng số trong 02_So_sanh_tong_hop và tổng điểm trong 00_Tom_tat_ket_luan sẽ được cập nhật đồng thời. Theo quy ước của mô hình tài chính, ô có nền vàng và chữ xanh là "ô nhập liệu".</x:v>
      </x:c>
      <x:c r="C35" s="1"/>
      <x:c r="D35" s="1"/>
      <x:c r="E35" s="1"/>
      <x:c r="F35"/>
    </x:row>
    <x:row r="36" ht="55.5" customHeight="1">
      <x:c r="A36" s="63" t="str">
        <x:v>Tôi không đồng ý với điểm số của hạng mục (thang điểm 5)</x:v>
      </x:c>
      <x:c r="B36" s="1" t="str">
        <x:v>Vui lòng chỉnh sửa trực tiếp ô B5:C14 trong sheet 02_So_sanh_tong_hop. Trước tiên, hãy kiểm tra các giá trị đo lường thực tế làm căn cứ đánh giá ở cột E và lý do đánh giá ở cột F trong cùng một hàng.</x:v>
      </x:c>
      <x:c r="C36" s="1"/>
      <x:c r="D36" s="1"/>
      <x:c r="E36" s="1"/>
      <x:c r="F36"/>
    </x:row>
    <x:row r="37" ht="67.5" customHeight="1">
      <x:c r="A37" s="63" t="str">
        <x:v>Tôi muốn áp dụng cùng một đánh giá cho các sản phẩm của đợt khác (ví dụ: V4)</x:v>
      </x:c>
      <x:c r="B37" s="1" t="str">
        <x:v>Bạn chỉ cần tính toán tương tự các định nghĩa chỉ số (số ký tự, số câu, CV, MATTR, tỷ lệ khớp căn cứ, độ phù hợp hạng mục, mật độ từ sáo rỗng, hedge phrase) trong sheet 04_So_sanh_theo_muc. Tuy nhiên, tỷ lệ khớp căn cứ và độ phù hợp hạng mục chỉ có thể tính toán được khi có cột Original Evidence và cột Field.</x:v>
      </x:c>
      <x:c r="C37" s="1"/>
      <x:c r="D37" s="1"/>
      <x:c r="E37" s="1"/>
      <x:c r="F37"/>
    </x:row>
    <x:row r="38" ht="55.5" customHeight="1">
      <x:c r="A38" s="63" t="str">
        <x:v>Tôi muốn trực tiếp kiểm chứng kết quả đánh giá của một hạng mục cụ thể</x:v>
      </x:c>
      <x:c r="B38" s="1" t="str">
        <x:v>Hãy tìm ID chỉ số tương ứng trong sheet 04_So_sanh_theo_muc và đối chiếu nguyên văn cột D (nội dung V2) và cột E (nội dung V3). 6 trường hợp điển hình đã được tổng hợp cùng với hướng dẫn đọc trong sheet 05_Truong_hop_tieu_bieu.</x:v>
      </x:c>
      <x:c r="C38" s="1"/>
      <x:c r="D38" s="1"/>
      <x:c r="E38" s="1"/>
      <x:c r="F38"/>
    </x:row>
    <x:row r="39" ht="55.5" customHeight="1">
      <x:c r="A39" s="63" t="str">
        <x:v>Nghi ngờ có hiệu ứng về độ dài</x:v>
      </x:c>
      <x:c r="B39" s="1" t="str">
        <x:v>Tại sheet 03_Chi_so_thuc_do, hãy xem cùng lúc hàng "(Toàn bộ)" và "chỉ 28 trường hợp từ 3 câu trở lên" / "kiểm soát độ dài". Những chỉ số có giá trị khác nhau giữa hai hàng này là do bị nhiễu bởi độ dài, vì vậy hãy tin tưởng giá trị sau khi đã kiểm soát.</x:v>
      </x:c>
      <x:c r="C39" s="1"/>
      <x:c r="D39" s="1"/>
      <x:c r="E39" s="1"/>
      <x:c r="F39"/>
    </x:row>
  </x:sheetData>
  <x:mergeCells>
    <x:mergeCell ref="B38:E38"/>
    <x:mergeCell ref="B39:E39"/>
    <x:mergeCell ref="A21:F21"/>
    <x:mergeCell ref="A26:F26"/>
    <x:mergeCell ref="B35:E35"/>
    <x:mergeCell ref="B36:E36"/>
    <x:mergeCell ref="B37:E37"/>
    <x:mergeCell ref="A2:F2"/>
    <x:mergeCell ref="A5:F5"/>
    <x:mergeCell ref="A11:F11"/>
    <x:mergeCell ref="A17:E17"/>
    <x:mergeCell ref="A18:E18"/>
  </x:mergeCells>
  <x:pageMargins left="0.7" right="0.7" top="0.75" bottom="0.75" header="0.3" footer="0.3"/>
</x:worksheet>
</file>